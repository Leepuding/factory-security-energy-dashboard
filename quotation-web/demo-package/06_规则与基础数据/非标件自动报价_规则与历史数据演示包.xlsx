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c794be29b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总览" sheetId="1" r:id="Rc19fce3be31d4502"/>
    <x:sheet xmlns:r="http://schemas.openxmlformats.org/officeDocument/2006/relationships" name="材料与设备" sheetId="2" r:id="R0c99f16263da4473"/>
    <x:sheet xmlns:r="http://schemas.openxmlformats.org/officeDocument/2006/relationships" name="工序与外协" sheetId="3" r:id="R1139f167a4c94fed"/>
    <x:sheet xmlns:r="http://schemas.openxmlformats.org/officeDocument/2006/relationships" name="报价计算示例" sheetId="4" r:id="Recd73f469cad41f7"/>
    <x:sheet xmlns:r="http://schemas.openxmlformats.org/officeDocument/2006/relationships" name="历史报价样例" sheetId="5" r:id="R5781914b2005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%"/>
    <x:numFmt numFmtId="202" formatCode="0"/>
    <x:numFmt numFmtId="203" formatCode="0.0"/>
    <x:numFmt numFmtId="204" formatCode="#,##0"/>
    <x:numFmt numFmtId="205" formatCode="¥#,##0.00"/>
  </x:numFmts>
  <x:fonts count="7">
    <x:font>
      <x:sz val="11"/>
      <x:name val="Carlito"/>
    </x:font>
    <x:font>
      <x:b/>
      <x:sz val="16"/>
      <x:color rgb="FFFFFFFF"/>
      <x:name val="Carlito"/>
    </x:font>
    <x:font>
      <x:sz val="9"/>
      <x:color rgb="FF6B7A83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sz val="9"/>
      <x:color rgb="FF27343B"/>
      <x:name val="Carlito"/>
    </x:font>
    <x:font>
      <x:b/>
      <x:sz val="9"/>
      <x:color rgb="FF0F766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A38"/>
      </x:patternFill>
    </x:fill>
    <x:fill>
      <x:patternFill patternType="solid">
        <x:fgColor rgb="FFF4F7F8"/>
      </x:patternFill>
    </x:fill>
    <x:fill>
      <x:patternFill patternType="solid">
        <x:fgColor rgb="FFE6F5F2"/>
      </x:patternFill>
    </x:fill>
    <x:fill>
      <x:patternFill patternType="solid">
        <x:fgColor rgb="FF0F766E"/>
      </x:patternFill>
    </x:fill>
    <x:fill>
      <x:patternFill patternType="solid">
        <x:fgColor rgb="FFFFF7E6"/>
      </x:patternFill>
    </x:fill>
  </x:fills>
  <x:borders count="9">
    <x:border/>
    <x:border>
      <x:left style="thin">
        <x:color rgb="FFD8E1E5"/>
      </x:left>
      <x:top style="thin">
        <x:color rgb="FFD8E1E5"/>
      </x:top>
      <x:bottom style="thin">
        <x:color rgb="FFD8E1E5"/>
      </x:bottom>
    </x:border>
    <x:border>
      <x:top style="thin">
        <x:color rgb="FFD8E1E5"/>
      </x:top>
      <x:bottom style="thin">
        <x:color rgb="FFD8E1E5"/>
      </x:bottom>
    </x:border>
    <x:border>
      <x:right style="thin">
        <x:color rgb="FFD8E1E5"/>
      </x:right>
      <x:top style="thin">
        <x:color rgb="FFD8E1E5"/>
      </x:top>
      <x:bottom style="thin">
        <x:color rgb="FFD8E1E5"/>
      </x:bottom>
    </x:border>
    <x:border>
      <x:bottom style="thin">
        <x:color rgb="FFD8E1E5"/>
      </x:bottom>
    </x:border>
    <x:border>
      <x:top style="thin">
        <x:color rgb="FFD8E1E5"/>
      </x:top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4" fontId="5" fillId="0" borderId="5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5" fontId="5" fillId="0" borderId="5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5" fontId="5" fillId="6" borderId="4" xfId="0" applyNumberFormat="1" applyFont="1" applyFill="1" applyBorder="1" applyAlignment="1">
      <x:alignment vertical="center"/>
    </x:xf>
    <x:xf numFmtId="201" fontId="5" fillId="6" borderId="4" xfId="0" applyNumberFormat="1" applyFont="1" applyFill="1" applyBorder="1" applyAlignment="1">
      <x:alignment vertical="center"/>
    </x:xf>
    <x:xf numFmtId="205" fontId="5" fillId="6" borderId="2" xfId="0" applyNumberFormat="1" applyFont="1" applyFill="1" applyBorder="1" applyAlignment="1">
      <x:alignment vertical="center"/>
    </x:xf>
    <x:xf numFmtId="201" fontId="5" fillId="6" borderId="2" xfId="0" applyNumberFormat="1" applyFont="1" applyFill="1" applyBorder="1" applyAlignment="1">
      <x:alignment vertical="center"/>
    </x:xf>
    <x:xf numFmtId="205" fontId="5" fillId="6" borderId="5" xfId="0" applyNumberFormat="1" applyFont="1" applyFill="1" applyBorder="1" applyAlignment="1">
      <x:alignment vertical="center"/>
    </x:xf>
    <x:xf numFmtId="201" fontId="5" fillId="6" borderId="5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205" fontId="5" fillId="4" borderId="4" xfId="0" applyNumberFormat="1" applyFont="1" applyFill="1" applyBorder="1" applyAlignment="1">
      <x:alignment vertical="center"/>
    </x:xf>
    <x:xf numFmtId="205" fontId="5" fillId="4" borderId="2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205" fontId="5" fillId="4" borderId="5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205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205" fontId="6" fillId="4" borderId="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5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5" fillId="6" borderId="0" xfId="0" applyNumberFormat="1" applyFont="1" applyFill="1" applyBorder="1"/>
    <x:xf numFmtId="205" fontId="5" fillId="0" borderId="0" xfId="0" applyNumberFormat="1" applyFont="1" applyFill="1" applyBorder="1"/>
    <x:xf numFmtId="201" fontId="5" fillId="6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/>
    <x:xf numFmtId="201" fontId="5" fillId="0" borderId="0" xfId="0" applyNumberFormat="1" applyFont="1" applyFill="1" applyBorder="1"/>
    <x:xf numFmtId="204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b5dad9cc34352" /><Relationship Type="http://schemas.openxmlformats.org/officeDocument/2006/relationships/theme" Target="/xl/theme/theme1.xml" Id="R3abf2d0a53e44f4a" /><Relationship Type="http://schemas.openxmlformats.org/officeDocument/2006/relationships/sharedStrings" Target="/xl/sharedStrings.xml" Id="R2345692f27d64b21" /><Relationship Type="http://schemas.openxmlformats.org/officeDocument/2006/relationships/worksheet" Target="/xl/worksheets/sheet1.xml" Id="Rc19fce3be31d4502" /><Relationship Type="http://schemas.openxmlformats.org/officeDocument/2006/relationships/worksheet" Target="/xl/worksheets/sheet2.xml" Id="R0c99f16263da4473" /><Relationship Type="http://schemas.openxmlformats.org/officeDocument/2006/relationships/worksheet" Target="/xl/worksheets/sheet3.xml" Id="R1139f167a4c94fed" /><Relationship Type="http://schemas.openxmlformats.org/officeDocument/2006/relationships/worksheet" Target="/xl/worksheets/sheet4.xml" Id="Recd73f469cad41f7" /><Relationship Type="http://schemas.openxmlformats.org/officeDocument/2006/relationships/worksheet" Target="/xl/worksheets/sheet5.xml" Id="R5781914b20054d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26" hidden="0" customWidth="1"/>
    <x:col min="4" max="4" width="16" hidden="0" customWidth="1"/>
    <x:col min="5" max="5" width="13" hidden="0" customWidth="1"/>
    <x:col min="6" max="6" width="13" hidden="0" customWidth="1"/>
    <x:col min="7" max="7" width="20" hidden="0" customWidth="1"/>
    <x:col min="8" max="8" width="18" hidden="0" customWidth="1"/>
  </x:cols>
  <x:sheetData>
    <x:row r="1" ht="34" customHeight="1">
      <x:c r="A1" s="3" t="str">
        <x:v>非标件自动报价规则演示包</x:v>
      </x:c>
      <x:c r="B1" s="3" t="str">
        <x:v>非标件自动报价规则演示包</x:v>
      </x:c>
      <x:c r="C1" s="3" t="str">
        <x:v>非标件自动报价规则演示包</x:v>
      </x:c>
      <x:c r="D1" s="3" t="str">
        <x:v>非标件自动报价规则演示包</x:v>
      </x:c>
      <x:c r="E1" s="3" t="str">
        <x:v>非标件自动报价规则演示包</x:v>
      </x:c>
      <x:c r="F1" s="3" t="str">
        <x:v>非标件自动报价规则演示包</x:v>
      </x:c>
      <x:c r="G1" s="3" t="str">
        <x:v>非标件自动报价规则演示包</x:v>
      </x:c>
      <x:c r="H1" s="3" t="str">
        <x:v>非标件自动报价规则演示包</x:v>
      </x:c>
    </x:row>
    <x:row r="2" ht="24" customHeight="1">
      <x:c r="A2" s="6" t="str">
        <x:v>演示版本 RQ-2026.07.2 | 所有金额为含税或未税示例值，非真实经营数据</x:v>
      </x:c>
      <x:c r="B2" s="6" t="str">
        <x:v>演示版本 RQ-2026.07.2 | 所有金额为含税或未税示例值，非真实经营数据</x:v>
      </x:c>
      <x:c r="C2" s="6" t="str">
        <x:v>演示版本 RQ-2026.07.2 | 所有金额为含税或未税示例值，非真实经营数据</x:v>
      </x:c>
      <x:c r="D2" s="6" t="str">
        <x:v>演示版本 RQ-2026.07.2 | 所有金额为含税或未税示例值，非真实经营数据</x:v>
      </x:c>
      <x:c r="E2" s="6" t="str">
        <x:v>演示版本 RQ-2026.07.2 | 所有金额为含税或未税示例值，非真实经营数据</x:v>
      </x:c>
      <x:c r="F2" s="6" t="str">
        <x:v>演示版本 RQ-2026.07.2 | 所有金额为含税或未税示例值，非真实经营数据</x:v>
      </x:c>
      <x:c r="G2" s="6" t="str">
        <x:v>演示版本 RQ-2026.07.2 | 所有金额为含税或未税示例值，非真实经营数据</x:v>
      </x:c>
      <x:c r="H2" s="6" t="str">
        <x:v>演示版本 RQ-2026.07.2 | 所有金额为含税或未税示例值，非真实经营数据</x:v>
      </x:c>
    </x:row>
    <x:row r="4" ht="26" customHeight="1">
      <x:c r="A4" s="9" t="str">
        <x:v>规则版本</x:v>
      </x:c>
      <x:c r="B4" s="9" t="str">
        <x:v>规则版本</x:v>
      </x:c>
      <x:c r="C4" s="9" t="str">
        <x:v>规则版本</x:v>
      </x:c>
      <x:c r="D4" s="9" t="str">
        <x:v>规则版本</x:v>
      </x:c>
      <x:c r="E4" s="9" t="str">
        <x:v>规则版本</x:v>
      </x:c>
      <x:c r="F4" s="9" t="str">
        <x:v>规则版本</x:v>
      </x:c>
      <x:c r="G4" s="9" t="str">
        <x:v>规则版本</x:v>
      </x:c>
      <x:c r="H4" s="9" t="str">
        <x:v>规则版本</x:v>
      </x:c>
    </x:row>
    <x:row r="5" ht="26" customHeight="1">
      <x:c r="A5" s="18" t="str">
        <x:v>版本号</x:v>
      </x:c>
      <x:c r="B5" s="19" t="str">
        <x:v>状态</x:v>
      </x:c>
      <x:c r="C5" s="19" t="str">
        <x:v>生效日期</x:v>
      </x:c>
      <x:c r="D5" s="19" t="str">
        <x:v>材料价版本</x:v>
      </x:c>
      <x:c r="E5" s="19" t="str">
        <x:v>设备费率版本</x:v>
      </x:c>
      <x:c r="F5" s="19" t="str">
        <x:v>公式版本</x:v>
      </x:c>
      <x:c r="G5" s="19" t="str">
        <x:v>创建人</x:v>
      </x:c>
      <x:c r="H5" s="20" t="str">
        <x:v>说明</x:v>
      </x:c>
    </x:row>
    <x:row r="6" ht="22" customHeight="1">
      <x:c r="A6" s="24" t="str">
        <x:v>RQ-2026.07.2</x:v>
      </x:c>
      <x:c r="B6" s="24" t="str">
        <x:v>当前生效</x:v>
      </x:c>
      <x:c r="C6" s="26" t="n">
        <x:v>46221</x:v>
      </x:c>
      <x:c r="D6" s="24" t="str">
        <x:v>MAT-2026.07</x:v>
      </x:c>
      <x:c r="E6" s="24" t="str">
        <x:v>RATE-2026.07</x:v>
      </x:c>
      <x:c r="F6" s="24" t="str">
        <x:v>FORMULA-V1.3</x:v>
      </x:c>
      <x:c r="G6" s="24" t="str">
        <x:v>系统管理员</x:v>
      </x:c>
      <x:c r="H6" s="24" t="str">
        <x:v>新报价默认使用</x:v>
      </x:c>
    </x:row>
    <x:row r="7" ht="22" customHeight="1">
      <x:c r="A7" s="25" t="str">
        <x:v>RQ-2026.06.1</x:v>
      </x:c>
      <x:c r="B7" s="25" t="str">
        <x:v>历史冻结</x:v>
      </x:c>
      <x:c r="C7" s="27" t="n">
        <x:v>46174</x:v>
      </x:c>
      <x:c r="D7" s="25" t="str">
        <x:v>MAT-2026.06</x:v>
      </x:c>
      <x:c r="E7" s="25" t="str">
        <x:v>RATE-2026.06</x:v>
      </x:c>
      <x:c r="F7" s="25" t="str">
        <x:v>FORMULA-V1.2</x:v>
      </x:c>
      <x:c r="G7" s="25" t="str">
        <x:v>系统管理员</x:v>
      </x:c>
      <x:c r="H7" s="25" t="str">
        <x:v>仅用于历史复算</x:v>
      </x:c>
    </x:row>
    <x:row r="9" ht="26" customHeight="1">
      <x:c r="A9" s="9" t="str">
        <x:v>商务与风险规则</x:v>
      </x:c>
      <x:c r="B9" s="9" t="str">
        <x:v>商务与风险规则</x:v>
      </x:c>
      <x:c r="C9" s="9" t="str">
        <x:v>商务与风险规则</x:v>
      </x:c>
      <x:c r="D9" s="9" t="str">
        <x:v>商务与风险规则</x:v>
      </x:c>
      <x:c r="E9" s="9" t="str">
        <x:v>商务与风险规则</x:v>
      </x:c>
      <x:c r="F9" s="9" t="str">
        <x:v>商务与风险规则</x:v>
      </x:c>
      <x:c r="G9" s="9" t="str">
        <x:v>商务与风险规则</x:v>
      </x:c>
      <x:c r="H9" s="9" t="str">
        <x:v>商务与风险规则</x:v>
      </x:c>
    </x:row>
    <x:row r="10" ht="26" customHeight="1">
      <x:c r="A10" s="18" t="str">
        <x:v>规则编码</x:v>
      </x:c>
      <x:c r="B10" s="19" t="str">
        <x:v>规则名称</x:v>
      </x:c>
      <x:c r="C10" s="19" t="str">
        <x:v>默认值</x:v>
      </x:c>
      <x:c r="D10" s="19" t="str">
        <x:v>单位</x:v>
      </x:c>
      <x:c r="E10" s="19" t="str">
        <x:v>最低值</x:v>
      </x:c>
      <x:c r="F10" s="19" t="str">
        <x:v>最高值</x:v>
      </x:c>
      <x:c r="G10" s="19" t="str">
        <x:v>触发动作</x:v>
      </x:c>
      <x:c r="H10" s="20" t="str">
        <x:v>备注</x:v>
      </x:c>
    </x:row>
    <x:row r="11" ht="22" customHeight="1">
      <x:c r="A11" s="24" t="str">
        <x:v>BIZ-MARGIN</x:v>
      </x:c>
      <x:c r="B11" s="24" t="str">
        <x:v>目标毛利率</x:v>
      </x:c>
      <x:c r="C11" s="30" t="n">
        <x:v>0.28</x:v>
      </x:c>
      <x:c r="D11" s="24" t="str">
        <x:v>%</x:v>
      </x:c>
      <x:c r="E11" s="30" t="n">
        <x:v>0.18</x:v>
      </x:c>
      <x:c r="F11" s="30" t="n">
        <x:v>0.6</x:v>
      </x:c>
      <x:c r="G11" s="24" t="str">
        <x:v>低于最低值预警</x:v>
      </x:c>
      <x:c r="H11" s="24" t="str">
        <x:v>销售可调整</x:v>
      </x:c>
    </x:row>
    <x:row r="12" ht="22" customHeight="1">
      <x:c r="A12" s="29" t="str">
        <x:v>BIZ-TAX</x:v>
      </x:c>
      <x:c r="B12" s="29" t="str">
        <x:v>增值税率</x:v>
      </x:c>
      <x:c r="C12" s="31" t="n">
        <x:v>0.13</x:v>
      </x:c>
      <x:c r="D12" s="29" t="str">
        <x:v>%</x:v>
      </x:c>
      <x:c r="E12" s="31" t="n">
        <x:v>0</x:v>
      </x:c>
      <x:c r="F12" s="31" t="n">
        <x:v>0.13</x:v>
      </x:c>
      <x:c r="G12" s="29" t="str">
        <x:v>重新计算含税价</x:v>
      </x:c>
      <x:c r="H12" s="29" t="str">
        <x:v>演示默认 13%</x:v>
      </x:c>
    </x:row>
    <x:row r="13" ht="22" customHeight="1">
      <x:c r="A13" s="29" t="str">
        <x:v>BIZ-VALID</x:v>
      </x:c>
      <x:c r="B13" s="29" t="str">
        <x:v>报价有效期</x:v>
      </x:c>
      <x:c r="C13" s="32" t="n">
        <x:v>15</x:v>
      </x:c>
      <x:c r="D13" s="29" t="str">
        <x:v>天</x:v>
      </x:c>
      <x:c r="E13" s="32" t="n">
        <x:v>1</x:v>
      </x:c>
      <x:c r="F13" s="32" t="n">
        <x:v>60</x:v>
      </x:c>
      <x:c r="G13" s="29" t="str">
        <x:v>写入正式报价</x:v>
      </x:c>
      <x:c r="H13" s="29" t="str"/>
    </x:row>
    <x:row r="14" ht="22" customHeight="1">
      <x:c r="A14" s="29" t="str">
        <x:v>RISK-SCRAP</x:v>
      </x:c>
      <x:c r="B14" s="29" t="str">
        <x:v>常规报废风险系数</x:v>
      </x:c>
      <x:c r="C14" s="31" t="n">
        <x:v>0.03</x:v>
      </x:c>
      <x:c r="D14" s="29" t="str">
        <x:v>%</x:v>
      </x:c>
      <x:c r="E14" s="31" t="n">
        <x:v>0</x:v>
      </x:c>
      <x:c r="F14" s="31" t="n">
        <x:v>0.2</x:v>
      </x:c>
      <x:c r="G14" s="29" t="str">
        <x:v>计入制造成本</x:v>
      </x:c>
      <x:c r="H14" s="29" t="str">
        <x:v>复杂件可人工上调</x:v>
      </x:c>
    </x:row>
    <x:row r="15" ht="22" customHeight="1">
      <x:c r="A15" s="29" t="str">
        <x:v>RISK-LOWCONF</x:v>
      </x:c>
      <x:c r="B15" s="29" t="str">
        <x:v>低置信度阈值</x:v>
      </x:c>
      <x:c r="C15" s="31" t="n">
        <x:v>0.8</x:v>
      </x:c>
      <x:c r="D15" s="29" t="str">
        <x:v>%</x:v>
      </x:c>
      <x:c r="E15" s="31" t="n">
        <x:v>0.5</x:v>
      </x:c>
      <x:c r="F15" s="31" t="n">
        <x:v>1</x:v>
      </x:c>
      <x:c r="G15" s="29" t="str">
        <x:v>转人工确认</x:v>
      </x:c>
      <x:c r="H15" s="29" t="str">
        <x:v>字段级判断</x:v>
      </x:c>
    </x:row>
    <x:row r="16" ht="22" customHeight="1">
      <x:c r="A16" s="25" t="str">
        <x:v>RISK-PRICE</x:v>
      </x:c>
      <x:c r="B16" s="25" t="str">
        <x:v>异常价格偏差阈值</x:v>
      </x:c>
      <x:c r="C16" s="33" t="n">
        <x:v>0.15</x:v>
      </x:c>
      <x:c r="D16" s="25" t="str">
        <x:v>%</x:v>
      </x:c>
      <x:c r="E16" s="33" t="n">
        <x:v>0.05</x:v>
      </x:c>
      <x:c r="F16" s="33" t="n">
        <x:v>0.5</x:v>
      </x:c>
      <x:c r="G16" s="25" t="str">
        <x:v>提示工程复核</x:v>
      </x:c>
      <x:c r="H16" s="25" t="str">
        <x:v>相对历史相似件</x:v>
      </x:c>
    </x:row>
    <x:row r="18" ht="26" customHeight="1">
      <x:c r="A18" s="9" t="str">
        <x:v>企业加工能力边界</x:v>
      </x:c>
      <x:c r="B18" s="9" t="str">
        <x:v>企业加工能力边界</x:v>
      </x:c>
      <x:c r="C18" s="9" t="str">
        <x:v>企业加工能力边界</x:v>
      </x:c>
      <x:c r="D18" s="9" t="str">
        <x:v>企业加工能力边界</x:v>
      </x:c>
      <x:c r="E18" s="9" t="str">
        <x:v>企业加工能力边界</x:v>
      </x:c>
      <x:c r="F18" s="9" t="str">
        <x:v>企业加工能力边界</x:v>
      </x:c>
      <x:c r="G18" s="9" t="str">
        <x:v>企业加工能力边界</x:v>
      </x:c>
      <x:c r="H18" s="9" t="str">
        <x:v>企业加工能力边界</x:v>
      </x:c>
    </x:row>
    <x:row r="19" ht="26" customHeight="1">
      <x:c r="A19" s="18" t="str">
        <x:v>能力编码</x:v>
      </x:c>
      <x:c r="B19" s="19" t="str">
        <x:v>零件类型</x:v>
      </x:c>
      <x:c r="C19" s="19" t="str">
        <x:v>尺寸/能力边界</x:v>
      </x:c>
      <x:c r="D19" s="19" t="str">
        <x:v>最高精度</x:v>
      </x:c>
      <x:c r="E19" s="19" t="str">
        <x:v>粗糙度</x:v>
      </x:c>
      <x:c r="F19" s="19" t="str">
        <x:v>最大重量</x:v>
      </x:c>
      <x:c r="G19" s="19" t="str">
        <x:v>超限动作</x:v>
      </x:c>
      <x:c r="H19" s="20" t="str">
        <x:v>负责部门</x:v>
      </x:c>
    </x:row>
    <x:row r="20" ht="22" customHeight="1">
      <x:c r="A20" s="24" t="str">
        <x:v>CAP-CNC-BLOCK</x:v>
      </x:c>
      <x:c r="B20" s="24" t="str">
        <x:v>方件 CNC</x:v>
      </x:c>
      <x:c r="C20" s="24" t="str">
        <x:v>L≤750, W≤450, H≤120 mm</x:v>
      </x:c>
      <x:c r="D20" s="24" t="str">
        <x:v>±0.01 mm</x:v>
      </x:c>
      <x:c r="E20" s="24" t="str">
        <x:v>Ra0.8</x:v>
      </x:c>
      <x:c r="F20" s="34" t="n">
        <x:v>80</x:v>
      </x:c>
      <x:c r="G20" s="24" t="str">
        <x:v>禁止自动确认</x:v>
      </x:c>
      <x:c r="H20" s="24" t="str">
        <x:v>机加工部</x:v>
      </x:c>
    </x:row>
    <x:row r="21" ht="22" customHeight="1">
      <x:c r="A21" s="29" t="str">
        <x:v>CAP-CNC-SHAFT</x:v>
      </x:c>
      <x:c r="B21" s="29" t="str">
        <x:v>圆件车削</x:v>
      </x:c>
      <x:c r="C21" s="29" t="str">
        <x:v>D≤200, L≤500 mm</x:v>
      </x:c>
      <x:c r="D21" s="29" t="str">
        <x:v>±0.01 mm</x:v>
      </x:c>
      <x:c r="E21" s="29" t="str">
        <x:v>Ra0.8</x:v>
      </x:c>
      <x:c r="F21" s="35" t="n">
        <x:v>120</x:v>
      </x:c>
      <x:c r="G21" s="29" t="str">
        <x:v>转人工评估</x:v>
      </x:c>
      <x:c r="H21" s="29" t="str">
        <x:v>机加工部</x:v>
      </x:c>
    </x:row>
    <x:row r="22" ht="22" customHeight="1">
      <x:c r="A22" s="29" t="str">
        <x:v>CAP-SHEET</x:v>
      </x:c>
      <x:c r="B22" s="29" t="str">
        <x:v>钣金</x:v>
      </x:c>
      <x:c r="C22" s="29" t="str">
        <x:v>板厚 0.5-12 mm, L≤3000</x:v>
      </x:c>
      <x:c r="D22" s="29" t="str">
        <x:v>±0.20 mm</x:v>
      </x:c>
      <x:c r="E22" s="29" t="str">
        <x:v>Ra3.2</x:v>
      </x:c>
      <x:c r="F22" s="35" t="n">
        <x:v>200</x:v>
      </x:c>
      <x:c r="G22" s="29" t="str">
        <x:v>转外协评估</x:v>
      </x:c>
      <x:c r="H22" s="29" t="str">
        <x:v>钣金部</x:v>
      </x:c>
    </x:row>
    <x:row r="23" ht="22" customHeight="1">
      <x:c r="A23" s="25" t="str">
        <x:v>CAP-HARDNESS</x:v>
      </x:c>
      <x:c r="B23" s="25" t="str">
        <x:v>热处理后精加工</x:v>
      </x:c>
      <x:c r="C23" s="25" t="str">
        <x:v>硬度≤50HRC</x:v>
      </x:c>
      <x:c r="D23" s="25" t="str">
        <x:v>±0.02 mm</x:v>
      </x:c>
      <x:c r="E23" s="25" t="str">
        <x:v>Ra0.8</x:v>
      </x:c>
      <x:c r="F23" s="36" t="n">
        <x:v>50</x:v>
      </x:c>
      <x:c r="G23" s="25" t="str">
        <x:v>转人工评估</x:v>
      </x:c>
      <x:c r="H23" s="25" t="str">
        <x:v>工程部</x:v>
      </x:c>
    </x:row>
  </x:sheetData>
  <x:mergeCells>
    <x:mergeCell ref="A1:H1"/>
    <x:mergeCell ref="A2:H2"/>
    <x:mergeCell ref="A4:H4"/>
    <x:mergeCell ref="A9:H9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6" hidden="0" customWidth="1"/>
    <x:col min="4" max="4" width="17" hidden="0" customWidth="1"/>
    <x:col min="5" max="5" width="15" hidden="0" customWidth="1"/>
    <x:col min="6" max="6" width="17" hidden="0" customWidth="1"/>
    <x:col min="7" max="7" width="15" hidden="0" customWidth="1"/>
    <x:col min="8" max="8" width="3" hidden="0" customWidth="1"/>
    <x:col min="9" max="9" width="15" hidden="0" customWidth="1"/>
    <x:col min="10" max="10" width="18" hidden="0" customWidth="1"/>
    <x:col min="11" max="11" width="22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4" customHeight="1">
      <x:c r="A1" s="3" t="str">
        <x:v>材料价格与设备费率</x:v>
      </x:c>
      <x:c r="B1" s="3" t="str">
        <x:v>材料价格与设备费率</x:v>
      </x:c>
      <x:c r="C1" s="3" t="str">
        <x:v>材料价格与设备费率</x:v>
      </x:c>
      <x:c r="D1" s="3" t="str">
        <x:v>材料价格与设备费率</x:v>
      </x:c>
      <x:c r="E1" s="3" t="str">
        <x:v>材料价格与设备费率</x:v>
      </x:c>
      <x:c r="F1" s="3" t="str">
        <x:v>材料价格与设备费率</x:v>
      </x:c>
      <x:c r="G1" s="3" t="str">
        <x:v>材料价格与设备费率</x:v>
      </x:c>
      <x:c r="H1" s="3" t="str">
        <x:v>材料价格与设备费率</x:v>
      </x:c>
      <x:c r="I1" s="3" t="str">
        <x:v>材料价格与设备费率</x:v>
      </x:c>
      <x:c r="J1" s="3" t="str">
        <x:v>材料价格与设备费率</x:v>
      </x:c>
      <x:c r="K1" s="3" t="str">
        <x:v>材料价格与设备费率</x:v>
      </x:c>
      <x:c r="L1" s="3" t="str">
        <x:v>材料价格与设备费率</x:v>
      </x:c>
      <x:c r="M1" s="3" t="str">
        <x:v>材料价格与设备费率</x:v>
      </x:c>
      <x:c r="N1" s="3" t="str">
        <x:v>材料价格与设备费率</x:v>
      </x:c>
    </x:row>
    <x:row r="2" ht="24" customHeight="1">
      <x:c r="A2" s="6" t="str">
        <x:v>基础价格按版本生效；黄色单元格为演示时可修改输入</x:v>
      </x:c>
      <x:c r="B2" s="6" t="str">
        <x:v>基础价格按版本生效；黄色单元格为演示时可修改输入</x:v>
      </x:c>
      <x:c r="C2" s="6" t="str">
        <x:v>基础价格按版本生效；黄色单元格为演示时可修改输入</x:v>
      </x:c>
      <x:c r="D2" s="6" t="str">
        <x:v>基础价格按版本生效；黄色单元格为演示时可修改输入</x:v>
      </x:c>
      <x:c r="E2" s="6" t="str">
        <x:v>基础价格按版本生效；黄色单元格为演示时可修改输入</x:v>
      </x:c>
      <x:c r="F2" s="6" t="str">
        <x:v>基础价格按版本生效；黄色单元格为演示时可修改输入</x:v>
      </x:c>
      <x:c r="G2" s="6" t="str">
        <x:v>基础价格按版本生效；黄色单元格为演示时可修改输入</x:v>
      </x:c>
      <x:c r="H2" s="6" t="str">
        <x:v>基础价格按版本生效；黄色单元格为演示时可修改输入</x:v>
      </x:c>
      <x:c r="I2" s="6" t="str">
        <x:v>基础价格按版本生效；黄色单元格为演示时可修改输入</x:v>
      </x:c>
      <x:c r="J2" s="6" t="str">
        <x:v>基础价格按版本生效；黄色单元格为演示时可修改输入</x:v>
      </x:c>
      <x:c r="K2" s="6" t="str">
        <x:v>基础价格按版本生效；黄色单元格为演示时可修改输入</x:v>
      </x:c>
      <x:c r="L2" s="6" t="str">
        <x:v>基础价格按版本生效；黄色单元格为演示时可修改输入</x:v>
      </x:c>
      <x:c r="M2" s="6" t="str">
        <x:v>基础价格按版本生效；黄色单元格为演示时可修改输入</x:v>
      </x:c>
      <x:c r="N2" s="6" t="str">
        <x:v>基础价格按版本生效；黄色单元格为演示时可修改输入</x:v>
      </x:c>
    </x:row>
    <x:row r="4" ht="26" customHeight="1">
      <x:c r="A4" s="9" t="str">
        <x:v>材料价格库</x:v>
      </x:c>
      <x:c r="B4" s="9" t="str">
        <x:v>材料价格库</x:v>
      </x:c>
      <x:c r="C4" s="9" t="str">
        <x:v>材料价格库</x:v>
      </x:c>
      <x:c r="D4" s="9" t="str">
        <x:v>材料价格库</x:v>
      </x:c>
      <x:c r="E4" s="9" t="str">
        <x:v>材料价格库</x:v>
      </x:c>
      <x:c r="F4" s="9" t="str">
        <x:v>材料价格库</x:v>
      </x:c>
      <x:c r="G4" s="9" t="str">
        <x:v>材料价格库</x:v>
      </x:c>
      <x:c r="I4" s="9" t="str">
        <x:v>设备与工时费率</x:v>
      </x:c>
      <x:c r="J4" s="9" t="str">
        <x:v>设备与工时费率</x:v>
      </x:c>
      <x:c r="K4" s="9" t="str">
        <x:v>设备与工时费率</x:v>
      </x:c>
      <x:c r="L4" s="9" t="str">
        <x:v>设备与工时费率</x:v>
      </x:c>
      <x:c r="M4" s="9" t="str">
        <x:v>设备与工时费率</x:v>
      </x:c>
      <x:c r="N4" s="9" t="str">
        <x:v>设备与工时费率</x:v>
      </x:c>
    </x:row>
    <x:row r="5" ht="26" customHeight="1">
      <x:c r="A5" s="18" t="str">
        <x:v>材料编码</x:v>
      </x:c>
      <x:c r="B5" s="19" t="str">
        <x:v>材料名称</x:v>
      </x:c>
      <x:c r="C5" s="19" t="str">
        <x:v>密度 kg/m³</x:v>
      </x:c>
      <x:c r="D5" s="19" t="str">
        <x:v>含税单价 元/kg</x:v>
      </x:c>
      <x:c r="E5" s="19" t="str">
        <x:v>默认利用率</x:v>
      </x:c>
      <x:c r="F5" s="19" t="str">
        <x:v>价格版本</x:v>
      </x:c>
      <x:c r="G5" s="20" t="str">
        <x:v>更新时间</x:v>
      </x:c>
      <x:c r="I5" s="18" t="str">
        <x:v>设备编码</x:v>
      </x:c>
      <x:c r="J5" s="19" t="str">
        <x:v>设备名称</x:v>
      </x:c>
      <x:c r="K5" s="19" t="str">
        <x:v>能力参数</x:v>
      </x:c>
      <x:c r="L5" s="19" t="str">
        <x:v>准备费率 元/h</x:v>
      </x:c>
      <x:c r="M5" s="19" t="str">
        <x:v>加工费率 元/h</x:v>
      </x:c>
      <x:c r="N5" s="20" t="str">
        <x:v>费率版本</x:v>
      </x:c>
    </x:row>
    <x:row r="6" ht="22" customHeight="1">
      <x:c r="A6" s="24" t="str">
        <x:v>MAT-AL-6061</x:v>
      </x:c>
      <x:c r="B6" s="24" t="str">
        <x:v>6061-T6铝合金</x:v>
      </x:c>
      <x:c r="C6" s="37" t="n">
        <x:v>2700</x:v>
      </x:c>
      <x:c r="D6" s="44" t="n">
        <x:v>36.8</x:v>
      </x:c>
      <x:c r="E6" s="45" t="n">
        <x:v>0.84</x:v>
      </x:c>
      <x:c r="F6" s="24" t="str">
        <x:v>MAT-2026.07</x:v>
      </x:c>
      <x:c r="G6" s="26" t="n">
        <x:v>46221</x:v>
      </x:c>
      <x:c r="I6" s="24" t="str">
        <x:v>EQ-VMC850</x:v>
      </x:c>
      <x:c r="J6" s="24" t="str">
        <x:v>VMC-850加工中心</x:v>
      </x:c>
      <x:c r="K6" s="24" t="str">
        <x:v>850×500×500</x:v>
      </x:c>
      <x:c r="L6" s="44" t="n">
        <x:v>90</x:v>
      </x:c>
      <x:c r="M6" s="44" t="n">
        <x:v>120</x:v>
      </x:c>
      <x:c r="N6" s="24" t="str">
        <x:v>RATE-2026.07</x:v>
      </x:c>
    </x:row>
    <x:row r="7" ht="22" customHeight="1">
      <x:c r="A7" s="29" t="str">
        <x:v>MAT-AL-7075</x:v>
      </x:c>
      <x:c r="B7" s="29" t="str">
        <x:v>7075-T6铝合金</x:v>
      </x:c>
      <x:c r="C7" s="38" t="n">
        <x:v>2810</x:v>
      </x:c>
      <x:c r="D7" s="46" t="n">
        <x:v>62.5</x:v>
      </x:c>
      <x:c r="E7" s="47" t="n">
        <x:v>0.82</x:v>
      </x:c>
      <x:c r="F7" s="29" t="str">
        <x:v>MAT-2026.07</x:v>
      </x:c>
      <x:c r="G7" s="43" t="n">
        <x:v>46221</x:v>
      </x:c>
      <x:c r="I7" s="29" t="str">
        <x:v>EQ-VMC650</x:v>
      </x:c>
      <x:c r="J7" s="29" t="str">
        <x:v>VMC-650加工中心</x:v>
      </x:c>
      <x:c r="K7" s="29" t="str">
        <x:v>650×450×450</x:v>
      </x:c>
      <x:c r="L7" s="46" t="n">
        <x:v>80</x:v>
      </x:c>
      <x:c r="M7" s="46" t="n">
        <x:v>98</x:v>
      </x:c>
      <x:c r="N7" s="29" t="str">
        <x:v>RATE-2026.07</x:v>
      </x:c>
    </x:row>
    <x:row r="8" ht="22" customHeight="1">
      <x:c r="A8" s="29" t="str">
        <x:v>MAT-SS-304</x:v>
      </x:c>
      <x:c r="B8" s="29" t="str">
        <x:v>SUS304</x:v>
      </x:c>
      <x:c r="C8" s="38" t="n">
        <x:v>7930</x:v>
      </x:c>
      <x:c r="D8" s="46" t="n">
        <x:v>24.6</x:v>
      </x:c>
      <x:c r="E8" s="47" t="n">
        <x:v>0.8</x:v>
      </x:c>
      <x:c r="F8" s="29" t="str">
        <x:v>MAT-2026.07</x:v>
      </x:c>
      <x:c r="G8" s="43" t="n">
        <x:v>46219</x:v>
      </x:c>
      <x:c r="I8" s="29" t="str">
        <x:v>EQ-CNC-L</x:v>
      </x:c>
      <x:c r="J8" s="29" t="str">
        <x:v>数控车床</x:v>
      </x:c>
      <x:c r="K8" s="29" t="str">
        <x:v>D≤320, L≤500</x:v>
      </x:c>
      <x:c r="L8" s="46" t="n">
        <x:v>85</x:v>
      </x:c>
      <x:c r="M8" s="46" t="n">
        <x:v>110</x:v>
      </x:c>
      <x:c r="N8" s="29" t="str">
        <x:v>RATE-2026.07</x:v>
      </x:c>
    </x:row>
    <x:row r="9" ht="22" customHeight="1">
      <x:c r="A9" s="29" t="str">
        <x:v>MAT-ST-40CR</x:v>
      </x:c>
      <x:c r="B9" s="29" t="str">
        <x:v>40Cr</x:v>
      </x:c>
      <x:c r="C9" s="38" t="n">
        <x:v>7850</x:v>
      </x:c>
      <x:c r="D9" s="46" t="n">
        <x:v>8.9</x:v>
      </x:c>
      <x:c r="E9" s="47" t="n">
        <x:v>0.78</x:v>
      </x:c>
      <x:c r="F9" s="29" t="str">
        <x:v>MAT-2026.07</x:v>
      </x:c>
      <x:c r="G9" s="43" t="n">
        <x:v>46218</x:v>
      </x:c>
      <x:c r="I9" s="29" t="str">
        <x:v>EQ-WEDM</x:v>
      </x:c>
      <x:c r="J9" s="29" t="str">
        <x:v>中走丝线切割</x:v>
      </x:c>
      <x:c r="K9" s="29" t="str">
        <x:v>400×500×300</x:v>
      </x:c>
      <x:c r="L9" s="46" t="n">
        <x:v>70</x:v>
      </x:c>
      <x:c r="M9" s="46" t="n">
        <x:v>150</x:v>
      </x:c>
      <x:c r="N9" s="29" t="str">
        <x:v>RATE-2026.07</x:v>
      </x:c>
    </x:row>
    <x:row r="10" ht="22" customHeight="1">
      <x:c r="A10" s="29" t="str">
        <x:v>MAT-ST-Q235</x:v>
      </x:c>
      <x:c r="B10" s="29" t="str">
        <x:v>Q235B</x:v>
      </x:c>
      <x:c r="C10" s="38" t="n">
        <x:v>7850</x:v>
      </x:c>
      <x:c r="D10" s="46" t="n">
        <x:v>5.6</x:v>
      </x:c>
      <x:c r="E10" s="47" t="n">
        <x:v>0.8</x:v>
      </x:c>
      <x:c r="F10" s="29" t="str">
        <x:v>MAT-2026.07</x:v>
      </x:c>
      <x:c r="G10" s="43" t="n">
        <x:v>46218</x:v>
      </x:c>
      <x:c r="I10" s="29" t="str">
        <x:v>EQ-GRIND</x:v>
      </x:c>
      <x:c r="J10" s="29" t="str">
        <x:v>平面磨床</x:v>
      </x:c>
      <x:c r="K10" s="29" t="str">
        <x:v>600×300</x:v>
      </x:c>
      <x:c r="L10" s="46" t="n">
        <x:v>75</x:v>
      </x:c>
      <x:c r="M10" s="46" t="n">
        <x:v>105</x:v>
      </x:c>
      <x:c r="N10" s="29" t="str">
        <x:v>RATE-2026.07</x:v>
      </x:c>
    </x:row>
    <x:row r="11" ht="22" customHeight="1">
      <x:c r="A11" s="25" t="str">
        <x:v>MAT-TI-TC4</x:v>
      </x:c>
      <x:c r="B11" s="25" t="str">
        <x:v>TC4钛合金</x:v>
      </x:c>
      <x:c r="C11" s="39" t="n">
        <x:v>4510</x:v>
      </x:c>
      <x:c r="D11" s="48" t="n">
        <x:v>218</x:v>
      </x:c>
      <x:c r="E11" s="49" t="n">
        <x:v>0.72</x:v>
      </x:c>
      <x:c r="F11" s="25" t="str">
        <x:v>MAT-2026.07</x:v>
      </x:c>
      <x:c r="G11" s="27" t="n">
        <x:v>46215</x:v>
      </x:c>
      <x:c r="I11" s="25" t="str">
        <x:v>EQ-LASER</x:v>
      </x:c>
      <x:c r="J11" s="25" t="str">
        <x:v>激光切割机</x:v>
      </x:c>
      <x:c r="K11" s="25" t="str">
        <x:v>3kW, 3000×1500</x:v>
      </x:c>
      <x:c r="L11" s="48" t="n">
        <x:v>65</x:v>
      </x:c>
      <x:c r="M11" s="48" t="n">
        <x:v>130</x:v>
      </x:c>
      <x:c r="N11" s="25" t="str">
        <x:v>RATE-2026.07</x:v>
      </x:c>
    </x:row>
  </x:sheetData>
  <x:mergeCells>
    <x:mergeCell ref="A1:N1"/>
    <x:mergeCell ref="A2:N2"/>
    <x:mergeCell ref="A4:G4"/>
    <x:mergeCell ref="I4:N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3" hidden="0" customWidth="1"/>
    <x:col min="4" max="4" width="15" hidden="0" customWidth="1"/>
    <x:col min="5" max="5" width="16" hidden="0" customWidth="1"/>
    <x:col min="6" max="6" width="42" hidden="0" customWidth="1"/>
    <x:col min="7" max="7" width="15" hidden="0" customWidth="1"/>
    <x:col min="8" max="8" width="22" hidden="0" customWidth="1"/>
    <x:col min="9" max="9" width="3" hidden="0" customWidth="1"/>
    <x:col min="10" max="10" width="15" hidden="0" customWidth="1"/>
    <x:col min="11" max="11" width="20" hidden="0" customWidth="1"/>
    <x:col min="12" max="12" width="13" hidden="0" customWidth="1"/>
    <x:col min="13" max="13" width="14" hidden="0" customWidth="1"/>
    <x:col min="14" max="14" width="14" hidden="0" customWidth="1"/>
    <x:col min="15" max="15" width="22" hidden="0" customWidth="1"/>
  </x:cols>
  <x:sheetData>
    <x:row r="1" ht="34" customHeight="1">
      <x:c r="A1" s="3" t="str">
        <x:v>工序、刀具磨损与外协价格</x:v>
      </x:c>
      <x:c r="B1" s="3" t="str">
        <x:v>工序、刀具磨损与外协价格</x:v>
      </x:c>
      <x:c r="C1" s="3" t="str">
        <x:v>工序、刀具磨损与外协价格</x:v>
      </x:c>
      <x:c r="D1" s="3" t="str">
        <x:v>工序、刀具磨损与外协价格</x:v>
      </x:c>
      <x:c r="E1" s="3" t="str">
        <x:v>工序、刀具磨损与外协价格</x:v>
      </x:c>
      <x:c r="F1" s="3" t="str">
        <x:v>工序、刀具磨损与外协价格</x:v>
      </x:c>
      <x:c r="G1" s="3" t="str">
        <x:v>工序、刀具磨损与外协价格</x:v>
      </x:c>
      <x:c r="H1" s="3" t="str">
        <x:v>工序、刀具磨损与外协价格</x:v>
      </x:c>
      <x:c r="I1" s="3" t="str">
        <x:v>工序、刀具磨损与外协价格</x:v>
      </x:c>
      <x:c r="J1" s="3" t="str">
        <x:v>工序、刀具磨损与外协价格</x:v>
      </x:c>
      <x:c r="K1" s="3" t="str">
        <x:v>工序、刀具磨损与外协价格</x:v>
      </x:c>
      <x:c r="L1" s="3" t="str">
        <x:v>工序、刀具磨损与外协价格</x:v>
      </x:c>
      <x:c r="M1" s="3" t="str">
        <x:v>工序、刀具磨损与外协价格</x:v>
      </x:c>
      <x:c r="N1" s="3" t="str">
        <x:v>工序、刀具磨损与外协价格</x:v>
      </x:c>
      <x:c r="O1" s="3" t="str">
        <x:v>工序、刀具磨损与外协价格</x:v>
      </x:c>
    </x:row>
    <x:row r="2" ht="24" customHeight="1">
      <x:c r="A2" s="6" t="str">
        <x:v>正式成本由可解释规则计算；模型只提供识别字段和工艺建议</x:v>
      </x:c>
      <x:c r="B2" s="6" t="str">
        <x:v>正式成本由可解释规则计算；模型只提供识别字段和工艺建议</x:v>
      </x:c>
      <x:c r="C2" s="6" t="str">
        <x:v>正式成本由可解释规则计算；模型只提供识别字段和工艺建议</x:v>
      </x:c>
      <x:c r="D2" s="6" t="str">
        <x:v>正式成本由可解释规则计算；模型只提供识别字段和工艺建议</x:v>
      </x:c>
      <x:c r="E2" s="6" t="str">
        <x:v>正式成本由可解释规则计算；模型只提供识别字段和工艺建议</x:v>
      </x:c>
      <x:c r="F2" s="6" t="str">
        <x:v>正式成本由可解释规则计算；模型只提供识别字段和工艺建议</x:v>
      </x:c>
      <x:c r="G2" s="6" t="str">
        <x:v>正式成本由可解释规则计算；模型只提供识别字段和工艺建议</x:v>
      </x:c>
      <x:c r="H2" s="6" t="str">
        <x:v>正式成本由可解释规则计算；模型只提供识别字段和工艺建议</x:v>
      </x:c>
      <x:c r="I2" s="6" t="str">
        <x:v>正式成本由可解释规则计算；模型只提供识别字段和工艺建议</x:v>
      </x:c>
      <x:c r="J2" s="6" t="str">
        <x:v>正式成本由可解释规则计算；模型只提供识别字段和工艺建议</x:v>
      </x:c>
      <x:c r="K2" s="6" t="str">
        <x:v>正式成本由可解释规则计算；模型只提供识别字段和工艺建议</x:v>
      </x:c>
      <x:c r="L2" s="6" t="str">
        <x:v>正式成本由可解释规则计算；模型只提供识别字段和工艺建议</x:v>
      </x:c>
      <x:c r="M2" s="6" t="str">
        <x:v>正式成本由可解释规则计算；模型只提供识别字段和工艺建议</x:v>
      </x:c>
      <x:c r="N2" s="6" t="str">
        <x:v>正式成本由可解释规则计算；模型只提供识别字段和工艺建议</x:v>
      </x:c>
      <x:c r="O2" s="6" t="str">
        <x:v>正式成本由可解释规则计算；模型只提供识别字段和工艺建议</x:v>
      </x:c>
    </x:row>
    <x:row r="4" ht="26" customHeight="1">
      <x:c r="A4" s="9" t="str">
        <x:v>标准工序规则</x:v>
      </x:c>
      <x:c r="B4" s="9" t="str">
        <x:v>标准工序规则</x:v>
      </x:c>
      <x:c r="C4" s="9" t="str">
        <x:v>标准工序规则</x:v>
      </x:c>
      <x:c r="D4" s="9" t="str">
        <x:v>标准工序规则</x:v>
      </x:c>
      <x:c r="E4" s="9" t="str">
        <x:v>标准工序规则</x:v>
      </x:c>
      <x:c r="F4" s="9" t="str">
        <x:v>标准工序规则</x:v>
      </x:c>
      <x:c r="G4" s="9" t="str">
        <x:v>标准工序规则</x:v>
      </x:c>
      <x:c r="H4" s="9" t="str">
        <x:v>标准工序规则</x:v>
      </x:c>
      <x:c r="J4" s="9" t="str">
        <x:v>外协与附加费用</x:v>
      </x:c>
      <x:c r="K4" s="9" t="str">
        <x:v>外协与附加费用</x:v>
      </x:c>
      <x:c r="L4" s="9" t="str">
        <x:v>外协与附加费用</x:v>
      </x:c>
      <x:c r="M4" s="9" t="str">
        <x:v>外协与附加费用</x:v>
      </x:c>
      <x:c r="N4" s="9" t="str">
        <x:v>外协与附加费用</x:v>
      </x:c>
      <x:c r="O4" s="9" t="str">
        <x:v>外协与附加费用</x:v>
      </x:c>
    </x:row>
    <x:row r="5" ht="26" customHeight="1">
      <x:c r="A5" s="18" t="str">
        <x:v>工序编码</x:v>
      </x:c>
      <x:c r="B5" s="19" t="str">
        <x:v>工序名称</x:v>
      </x:c>
      <x:c r="C5" s="19" t="str">
        <x:v>类别</x:v>
      </x:c>
      <x:c r="D5" s="19" t="str">
        <x:v>默认设备</x:v>
      </x:c>
      <x:c r="E5" s="19" t="str">
        <x:v>准备时间 min</x:v>
      </x:c>
      <x:c r="F5" s="19" t="str">
        <x:v>计价公式</x:v>
      </x:c>
      <x:c r="G5" s="19" t="str">
        <x:v>刀具磨损率</x:v>
      </x:c>
      <x:c r="H5" s="20" t="str">
        <x:v>适用说明</x:v>
      </x:c>
      <x:c r="J5" s="18" t="str">
        <x:v>项目编码</x:v>
      </x:c>
      <x:c r="K5" s="19" t="str">
        <x:v>项目名称</x:v>
      </x:c>
      <x:c r="L5" s="19" t="str">
        <x:v>计价单位</x:v>
      </x:c>
      <x:c r="M5" s="19" t="str">
        <x:v>单价</x:v>
      </x:c>
      <x:c r="N5" s="19" t="str">
        <x:v>最低收费</x:v>
      </x:c>
      <x:c r="O5" s="20" t="str">
        <x:v>备注</x:v>
      </x:c>
    </x:row>
    <x:row r="6" ht="22" customHeight="1">
      <x:c r="A6" s="24" t="str">
        <x:v>OP-CNC-R</x:v>
      </x:c>
      <x:c r="B6" s="24" t="str">
        <x:v>CNC粗铣</x:v>
      </x:c>
      <x:c r="C6" s="24" t="str">
        <x:v>机加工</x:v>
      </x:c>
      <x:c r="D6" s="24" t="str">
        <x:v>EQ-VMC850</x:v>
      </x:c>
      <x:c r="E6" s="50" t="n">
        <x:v>20</x:v>
      </x:c>
      <x:c r="F6" s="24" t="str">
        <x:v>准备时间/60×准备费率 + 加工时间/60×加工费率</x:v>
      </x:c>
      <x:c r="G6" s="30" t="n">
        <x:v>0.06</x:v>
      </x:c>
      <x:c r="H6" s="24" t="str">
        <x:v>铝合金/钢件粗加工</x:v>
      </x:c>
      <x:c r="J6" s="24" t="str">
        <x:v>OUT-ANO</x:v>
      </x:c>
      <x:c r="K6" s="24" t="str">
        <x:v>本色阳极氧化</x:v>
      </x:c>
      <x:c r="L6" s="24" t="str">
        <x:v>dm²</x:v>
      </x:c>
      <x:c r="M6" s="44" t="n">
        <x:v>4.8</x:v>
      </x:c>
      <x:c r="N6" s="44" t="n">
        <x:v>120</x:v>
      </x:c>
      <x:c r="O6" s="24" t="str">
        <x:v>膜厚 10-15μm</x:v>
      </x:c>
    </x:row>
    <x:row r="7" ht="22" customHeight="1">
      <x:c r="A7" s="29" t="str">
        <x:v>OP-CNC-F</x:v>
      </x:c>
      <x:c r="B7" s="29" t="str">
        <x:v>CNC精铣</x:v>
      </x:c>
      <x:c r="C7" s="29" t="str">
        <x:v>机加工</x:v>
      </x:c>
      <x:c r="D7" s="29" t="str">
        <x:v>EQ-VMC850</x:v>
      </x:c>
      <x:c r="E7" s="32" t="n">
        <x:v>12</x:v>
      </x:c>
      <x:c r="F7" s="29" t="str">
        <x:v>加工时间/60×加工费率</x:v>
      </x:c>
      <x:c r="G7" s="31" t="n">
        <x:v>0.08</x:v>
      </x:c>
      <x:c r="H7" s="29" t="str">
        <x:v>关键面与型腔</x:v>
      </x:c>
      <x:c r="J7" s="29" t="str">
        <x:v>OUT-BLACK</x:v>
      </x:c>
      <x:c r="K7" s="29" t="str">
        <x:v>发黑</x:v>
      </x:c>
      <x:c r="L7" s="29" t="str">
        <x:v>kg</x:v>
      </x:c>
      <x:c r="M7" s="46" t="n">
        <x:v>6.5</x:v>
      </x:c>
      <x:c r="N7" s="46" t="n">
        <x:v>80</x:v>
      </x:c>
      <x:c r="O7" s="29" t="str">
        <x:v>常规防锈</x:v>
      </x:c>
    </x:row>
    <x:row r="8" ht="22" customHeight="1">
      <x:c r="A8" s="29" t="str">
        <x:v>OP-DRILL</x:v>
      </x:c>
      <x:c r="B8" s="29" t="str">
        <x:v>钻孔/攻丝</x:v>
      </x:c>
      <x:c r="C8" s="29" t="str">
        <x:v>机加工</x:v>
      </x:c>
      <x:c r="D8" s="29" t="str">
        <x:v>EQ-VMC650</x:v>
      </x:c>
      <x:c r="E8" s="32" t="n">
        <x:v>8</x:v>
      </x:c>
      <x:c r="F8" s="29" t="str">
        <x:v>加工时间/60×加工费率 + 丝锥磨损</x:v>
      </x:c>
      <x:c r="G8" s="31" t="n">
        <x:v>0.05</x:v>
      </x:c>
      <x:c r="H8" s="29" t="str">
        <x:v>通孔、螺纹孔</x:v>
      </x:c>
      <x:c r="J8" s="29" t="str">
        <x:v>OUT-HT</x:v>
      </x:c>
      <x:c r="K8" s="29" t="str">
        <x:v>调质 28-32HRC</x:v>
      </x:c>
      <x:c r="L8" s="29" t="str">
        <x:v>kg</x:v>
      </x:c>
      <x:c r="M8" s="46" t="n">
        <x:v>9.5</x:v>
      </x:c>
      <x:c r="N8" s="46" t="n">
        <x:v>300</x:v>
      </x:c>
      <x:c r="O8" s="29" t="str">
        <x:v>含硬度报告</x:v>
      </x:c>
    </x:row>
    <x:row r="9" ht="22" customHeight="1">
      <x:c r="A9" s="29" t="str">
        <x:v>OP-TURN</x:v>
      </x:c>
      <x:c r="B9" s="29" t="str">
        <x:v>数控车削</x:v>
      </x:c>
      <x:c r="C9" s="29" t="str">
        <x:v>机加工</x:v>
      </x:c>
      <x:c r="D9" s="29" t="str">
        <x:v>EQ-CNC-L</x:v>
      </x:c>
      <x:c r="E9" s="32" t="n">
        <x:v>15</x:v>
      </x:c>
      <x:c r="F9" s="29" t="str">
        <x:v>准备时间/60×准备费率 + 加工时间/60×加工费率</x:v>
      </x:c>
      <x:c r="G9" s="31" t="n">
        <x:v>0.07</x:v>
      </x:c>
      <x:c r="H9" s="29" t="str">
        <x:v>轴类与回转件</x:v>
      </x:c>
      <x:c r="J9" s="29" t="str">
        <x:v>OUT-PASS</x:v>
      </x:c>
      <x:c r="K9" s="29" t="str">
        <x:v>不锈钢钝化</x:v>
      </x:c>
      <x:c r="L9" s="29" t="str">
        <x:v>dm²</x:v>
      </x:c>
      <x:c r="M9" s="46" t="n">
        <x:v>7.2</x:v>
      </x:c>
      <x:c r="N9" s="46" t="n">
        <x:v>150</x:v>
      </x:c>
      <x:c r="O9" s="29" t="str">
        <x:v>ASTM A967参考</x:v>
      </x:c>
    </x:row>
    <x:row r="10" ht="22" customHeight="1">
      <x:c r="A10" s="29" t="str">
        <x:v>OP-WEDM</x:v>
      </x:c>
      <x:c r="B10" s="29" t="str">
        <x:v>中走丝线切割</x:v>
      </x:c>
      <x:c r="C10" s="29" t="str">
        <x:v>特种加工</x:v>
      </x:c>
      <x:c r="D10" s="29" t="str">
        <x:v>EQ-WEDM</x:v>
      </x:c>
      <x:c r="E10" s="32" t="n">
        <x:v>10</x:v>
      </x:c>
      <x:c r="F10" s="29" t="str">
        <x:v>切割面积×单价 + 穿丝费</x:v>
      </x:c>
      <x:c r="G10" s="31" t="n">
        <x:v>0.03</x:v>
      </x:c>
      <x:c r="H10" s="29" t="str">
        <x:v>窄槽与异形孔</x:v>
      </x:c>
      <x:c r="J10" s="29" t="str">
        <x:v>OUT-PLATE</x:v>
      </x:c>
      <x:c r="K10" s="29" t="str">
        <x:v>镀硬铬</x:v>
      </x:c>
      <x:c r="L10" s="29" t="str">
        <x:v>dm²</x:v>
      </x:c>
      <x:c r="M10" s="46" t="n">
        <x:v>18</x:v>
      </x:c>
      <x:c r="N10" s="46" t="n">
        <x:v>350</x:v>
      </x:c>
      <x:c r="O10" s="29" t="str">
        <x:v>厚度 20-30μm</x:v>
      </x:c>
    </x:row>
    <x:row r="11" ht="22" customHeight="1">
      <x:c r="A11" s="29" t="str">
        <x:v>OP-GRIND</x:v>
      </x:c>
      <x:c r="B11" s="29" t="str">
        <x:v>平面磨削</x:v>
      </x:c>
      <x:c r="C11" s="29" t="str">
        <x:v>磨削</x:v>
      </x:c>
      <x:c r="D11" s="29" t="str">
        <x:v>EQ-GRIND</x:v>
      </x:c>
      <x:c r="E11" s="32" t="n">
        <x:v>15</x:v>
      </x:c>
      <x:c r="F11" s="29" t="str">
        <x:v>加工时间/60×加工费率</x:v>
      </x:c>
      <x:c r="G11" s="31" t="n">
        <x:v>0.04</x:v>
      </x:c>
      <x:c r="H11" s="29" t="str">
        <x:v>精密平面</x:v>
      </x:c>
      <x:c r="J11" s="29" t="str">
        <x:v>QA-CMM</x:v>
      </x:c>
      <x:c r="K11" s="29" t="str">
        <x:v>三坐标检测</x:v>
      </x:c>
      <x:c r="L11" s="29" t="str">
        <x:v>件</x:v>
      </x:c>
      <x:c r="M11" s="46" t="n">
        <x:v>24</x:v>
      </x:c>
      <x:c r="N11" s="46" t="n">
        <x:v>120</x:v>
      </x:c>
      <x:c r="O11" s="29" t="str">
        <x:v>关键尺寸 6项</x:v>
      </x:c>
    </x:row>
    <x:row r="12" ht="22" customHeight="1">
      <x:c r="A12" s="29" t="str">
        <x:v>OP-LASER</x:v>
      </x:c>
      <x:c r="B12" s="29" t="str">
        <x:v>激光下料</x:v>
      </x:c>
      <x:c r="C12" s="29" t="str">
        <x:v>钣金</x:v>
      </x:c>
      <x:c r="D12" s="29" t="str">
        <x:v>EQ-LASER</x:v>
      </x:c>
      <x:c r="E12" s="32" t="n">
        <x:v>8</x:v>
      </x:c>
      <x:c r="F12" s="29" t="str">
        <x:v>切割长度×单价 + 穿孔数×单价</x:v>
      </x:c>
      <x:c r="G12" s="31" t="n">
        <x:v>0.02</x:v>
      </x:c>
      <x:c r="H12" s="29" t="str">
        <x:v>板材展开件</x:v>
      </x:c>
      <x:c r="J12" s="29" t="str">
        <x:v>PKG-STD</x:v>
      </x:c>
      <x:c r="K12" s="29" t="str">
        <x:v>标准防护包装</x:v>
      </x:c>
      <x:c r="L12" s="29" t="str">
        <x:v>件</x:v>
      </x:c>
      <x:c r="M12" s="46" t="n">
        <x:v>8</x:v>
      </x:c>
      <x:c r="N12" s="46" t="n">
        <x:v>0</x:v>
      </x:c>
      <x:c r="O12" s="29" t="str">
        <x:v>防锈袋+标签</x:v>
      </x:c>
    </x:row>
    <x:row r="13" ht="22" customHeight="1">
      <x:c r="A13" s="29" t="str">
        <x:v>OP-BEND</x:v>
      </x:c>
      <x:c r="B13" s="29" t="str">
        <x:v>折弯</x:v>
      </x:c>
      <x:c r="C13" s="29" t="str">
        <x:v>钣金</x:v>
      </x:c>
      <x:c r="D13" s="29" t="str">
        <x:v>折弯机</x:v>
      </x:c>
      <x:c r="E13" s="32" t="n">
        <x:v>12</x:v>
      </x:c>
      <x:c r="F13" s="29" t="str">
        <x:v>折弯次数×单次价格 + 准备费</x:v>
      </x:c>
      <x:c r="G13" s="31" t="n">
        <x:v>0.01</x:v>
      </x:c>
      <x:c r="H13" s="29" t="str">
        <x:v>按折弯刀数</x:v>
      </x:c>
      <x:c r="J13" s="25" t="str">
        <x:v>PKG-VAC</x:v>
      </x:c>
      <x:c r="K13" s="25" t="str">
        <x:v>真空洁净包装</x:v>
      </x:c>
      <x:c r="L13" s="25" t="str">
        <x:v>件</x:v>
      </x:c>
      <x:c r="M13" s="48" t="n">
        <x:v>35</x:v>
      </x:c>
      <x:c r="N13" s="48" t="n">
        <x:v>200</x:v>
      </x:c>
      <x:c r="O13" s="25" t="str">
        <x:v>双层洁净袋</x:v>
      </x:c>
    </x:row>
    <x:row r="14" ht="22" customHeight="1">
      <x:c r="A14" s="25" t="str">
        <x:v>OP-WELD</x:v>
      </x:c>
      <x:c r="B14" s="25" t="str">
        <x:v>氩弧焊</x:v>
      </x:c>
      <x:c r="C14" s="25" t="str">
        <x:v>焊接</x:v>
      </x:c>
      <x:c r="D14" s="25" t="str">
        <x:v>焊接工位</x:v>
      </x:c>
      <x:c r="E14" s="51" t="n">
        <x:v>15</x:v>
      </x:c>
      <x:c r="F14" s="25" t="str">
        <x:v>焊缝长度×单价 + 装夹费</x:v>
      </x:c>
      <x:c r="G14" s="33" t="n">
        <x:v>0.03</x:v>
      </x:c>
      <x:c r="H14" s="25" t="str">
        <x:v>SUS/铝合金焊接</x:v>
      </x:c>
    </x:row>
  </x:sheetData>
  <x:mergeCells>
    <x:mergeCell ref="A1:O1"/>
    <x:mergeCell ref="A2:O2"/>
    <x:mergeCell ref="A4:H4"/>
    <x:mergeCell ref="J4:O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6" hidden="0" customWidth="1"/>
    <x:col min="4" max="4" width="20" hidden="0" customWidth="1"/>
    <x:col min="5" max="5" width="24" hidden="0" customWidth="1"/>
    <x:col min="6" max="6" width="12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报价计算示例 - 伺服电机安装座</x:v>
      </x:c>
      <x:c r="B1" s="3" t="str">
        <x:v>报价计算示例 - 伺服电机安装座</x:v>
      </x:c>
      <x:c r="C1" s="3" t="str">
        <x:v>报价计算示例 - 伺服电机安装座</x:v>
      </x:c>
      <x:c r="D1" s="3" t="str">
        <x:v>报价计算示例 - 伺服电机安装座</x:v>
      </x:c>
      <x:c r="E1" s="3" t="str">
        <x:v>报价计算示例 - 伺服电机安装座</x:v>
      </x:c>
      <x:c r="F1" s="3" t="str">
        <x:v>报价计算示例 - 伺服电机安装座</x:v>
      </x:c>
      <x:c r="G1" s="3" t="str">
        <x:v>报价计算示例 - 伺服电机安装座</x:v>
      </x:c>
      <x:c r="H1" s="3" t="str">
        <x:v>报价计算示例 - 伺服电机安装座</x:v>
      </x:c>
    </x:row>
    <x:row r="2" ht="24" customHeight="1">
      <x:c r="A2" s="6" t="str">
        <x:v>黄色为输入项，蓝绿色为跨表引用，所有金额均为单件未税示例</x:v>
      </x:c>
      <x:c r="B2" s="6" t="str">
        <x:v>黄色为输入项，蓝绿色为跨表引用，所有金额均为单件未税示例</x:v>
      </x:c>
      <x:c r="C2" s="6" t="str">
        <x:v>黄色为输入项，蓝绿色为跨表引用，所有金额均为单件未税示例</x:v>
      </x:c>
      <x:c r="D2" s="6" t="str">
        <x:v>黄色为输入项，蓝绿色为跨表引用，所有金额均为单件未税示例</x:v>
      </x:c>
      <x:c r="E2" s="6" t="str">
        <x:v>黄色为输入项，蓝绿色为跨表引用，所有金额均为单件未税示例</x:v>
      </x:c>
      <x:c r="F2" s="6" t="str">
        <x:v>黄色为输入项，蓝绿色为跨表引用，所有金额均为单件未税示例</x:v>
      </x:c>
      <x:c r="G2" s="6" t="str">
        <x:v>黄色为输入项，蓝绿色为跨表引用，所有金额均为单件未税示例</x:v>
      </x:c>
      <x:c r="H2" s="6" t="str">
        <x:v>黄色为输入项，蓝绿色为跨表引用，所有金额均为单件未税示例</x:v>
      </x:c>
    </x:row>
    <x:row r="4" ht="26" customHeight="1">
      <x:c r="A4" s="9" t="str">
        <x:v>基础输入</x:v>
      </x:c>
      <x:c r="B4" s="9" t="str">
        <x:v>基础输入</x:v>
      </x:c>
      <x:c r="C4" s="9" t="str">
        <x:v>基础输入</x:v>
      </x:c>
      <x:c r="D4" s="9" t="str">
        <x:v>规则引用与成本结果</x:v>
      </x:c>
      <x:c r="E4" s="9" t="str">
        <x:v>规则引用与成本结果</x:v>
      </x:c>
      <x:c r="F4" s="9" t="str">
        <x:v>规则引用与成本结果</x:v>
      </x:c>
      <x:c r="G4" s="9" t="str">
        <x:v>规则引用与成本结果</x:v>
      </x:c>
      <x:c r="H4" s="9" t="str">
        <x:v>规则引用与成本结果</x:v>
      </x:c>
    </x:row>
    <x:row r="5" ht="26" customHeight="1">
      <x:c r="A5" s="18" t="str">
        <x:v>参数</x:v>
      </x:c>
      <x:c r="B5" s="20" t="str">
        <x:v>数值</x:v>
      </x:c>
      <x:c r="D5" s="18" t="str">
        <x:v>成本项</x:v>
      </x:c>
      <x:c r="E5" s="19" t="str">
        <x:v>规则/来源</x:v>
      </x:c>
      <x:c r="F5" s="19" t="str">
        <x:v>数量</x:v>
      </x:c>
      <x:c r="G5" s="19" t="str">
        <x:v>单价/费率</x:v>
      </x:c>
      <x:c r="H5" s="20" t="str">
        <x:v>金额</x:v>
      </x:c>
    </x:row>
    <x:row r="6" ht="22" customHeight="1">
      <x:c r="A6" s="24" t="str">
        <x:v>报价数量</x:v>
      </x:c>
      <x:c r="B6" s="52" t="n">
        <x:v>20</x:v>
      </x:c>
      <x:c r="D6" s="24" t="str">
        <x:v>材料费</x:v>
      </x:c>
      <x:c r="E6" s="24" t="str">
        <x:v>6061-T6 / 利用率</x:v>
      </x:c>
      <x:c r="F6" s="24" t="n">
        <x:v>1</x:v>
      </x:c>
      <x:c r="G6" s="57" t="n">
        <x:f>'材料与设备'!D6</x:f>
        <x:v>36.8</x:v>
      </x:c>
      <x:c r="H6" s="40" t="n">
        <x:f>ROUND($B$8*G6/$B$9,2)</x:f>
        <x:v>101.2</x:v>
      </x:c>
    </x:row>
    <x:row r="7" ht="22" customHeight="1">
      <x:c r="A7" s="29" t="str">
        <x:v>净重 kg</x:v>
      </x:c>
      <x:c r="B7" s="53" t="n">
        <x:v>1.86</x:v>
      </x:c>
      <x:c r="D7" s="29" t="str">
        <x:v>CNC粗铣</x:v>
      </x:c>
      <x:c r="E7" s="29" t="str">
        <x:v>VMC-850</x:v>
      </x:c>
      <x:c r="F7" s="29" t="n">
        <x:v>1</x:v>
      </x:c>
      <x:c r="G7" s="58" t="n">
        <x:f>'材料与设备'!M6</x:f>
        <x:v>120</x:v>
      </x:c>
      <x:c r="H7" s="41" t="n">
        <x:f>ROUND($B$10/60*G7+20/60*'材料与设备'!L6,2)</x:f>
        <x:v>106</x:v>
      </x:c>
    </x:row>
    <x:row r="8" ht="22" customHeight="1">
      <x:c r="A8" s="29" t="str">
        <x:v>毛坯重量 kg</x:v>
      </x:c>
      <x:c r="B8" s="53" t="n">
        <x:v>2.31</x:v>
      </x:c>
      <x:c r="D8" s="29" t="str">
        <x:v>CNC精铣</x:v>
      </x:c>
      <x:c r="E8" s="29" t="str">
        <x:v>VMC-850</x:v>
      </x:c>
      <x:c r="F8" s="29" t="n">
        <x:v>1</x:v>
      </x:c>
      <x:c r="G8" s="58" t="n">
        <x:f>'材料与设备'!M6</x:f>
        <x:v>120</x:v>
      </x:c>
      <x:c r="H8" s="41" t="n">
        <x:f>ROUND($B$11/60*G8,2)</x:f>
        <x:v>92</x:v>
      </x:c>
    </x:row>
    <x:row r="9" ht="22" customHeight="1">
      <x:c r="A9" s="29" t="str">
        <x:v>材料利用率</x:v>
      </x:c>
      <x:c r="B9" s="47" t="n">
        <x:v>0.84</x:v>
      </x:c>
      <x:c r="D9" s="29" t="str">
        <x:v>钻孔/攻丝</x:v>
      </x:c>
      <x:c r="E9" s="29" t="str">
        <x:v>VMC-650</x:v>
      </x:c>
      <x:c r="F9" s="29" t="n">
        <x:v>1</x:v>
      </x:c>
      <x:c r="G9" s="58" t="n">
        <x:f>'材料与设备'!M7</x:f>
        <x:v>98</x:v>
      </x:c>
      <x:c r="H9" s="41" t="n">
        <x:f>ROUND($B$12/60*G9,2)</x:f>
        <x:v>29.4</x:v>
      </x:c>
    </x:row>
    <x:row r="10" ht="22" customHeight="1">
      <x:c r="A10" s="29" t="str">
        <x:v>粗铣时间 min</x:v>
      </x:c>
      <x:c r="B10" s="53" t="n">
        <x:v>38</x:v>
      </x:c>
      <x:c r="D10" s="29" t="str">
        <x:v>阳极氧化</x:v>
      </x:c>
      <x:c r="E10" s="29" t="str">
        <x:v>最低炉费分摊</x:v>
      </x:c>
      <x:c r="F10" s="29" t="n">
        <x:v>1</x:v>
      </x:c>
      <x:c r="G10" s="58" t="n">
        <x:f>'工序与外协'!N6/20</x:f>
        <x:v>6</x:v>
      </x:c>
      <x:c r="H10" s="41" t="n">
        <x:f>ROUND(G10,2)</x:f>
        <x:v>6</x:v>
      </x:c>
    </x:row>
    <x:row r="11" ht="22" customHeight="1">
      <x:c r="A11" s="29" t="str">
        <x:v>精铣时间 min</x:v>
      </x:c>
      <x:c r="B11" s="53" t="n">
        <x:v>46</x:v>
      </x:c>
      <x:c r="D11" s="29" t="str">
        <x:v>三坐标检测</x:v>
      </x:c>
      <x:c r="E11" s="29" t="str">
        <x:v>关键尺寸6项</x:v>
      </x:c>
      <x:c r="F11" s="29" t="n">
        <x:v>1</x:v>
      </x:c>
      <x:c r="G11" s="58" t="n">
        <x:f>'工序与外协'!M11</x:f>
        <x:v>24</x:v>
      </x:c>
      <x:c r="H11" s="41" t="n">
        <x:f>ROUND(G11,2)</x:f>
        <x:v>24</x:v>
      </x:c>
    </x:row>
    <x:row r="12" ht="22" customHeight="1">
      <x:c r="A12" s="25" t="str">
        <x:v>钻孔攻丝 min</x:v>
      </x:c>
      <x:c r="B12" s="54" t="n">
        <x:v>18</x:v>
      </x:c>
      <x:c r="D12" s="29" t="str">
        <x:v>刀具与工装磨损</x:v>
      </x:c>
      <x:c r="E12" s="29" t="str">
        <x:v>机加工费×8%</x:v>
      </x:c>
      <x:c r="F12" s="29" t="n">
        <x:v>1</x:v>
      </x:c>
      <x:c r="G12" s="31" t="n">
        <x:f>8%</x:f>
        <x:v>0.08</x:v>
      </x:c>
      <x:c r="H12" s="41" t="n">
        <x:f>ROUND(SUM(H7:H9)*G12,2)</x:f>
        <x:v>18.19</x:v>
      </x:c>
    </x:row>
    <x:row r="13" ht="22" customHeight="1">
      <x:c r="D13" s="29" t="str">
        <x:v>包装</x:v>
      </x:c>
      <x:c r="E13" s="29" t="str">
        <x:v>标准防护</x:v>
      </x:c>
      <x:c r="F13" s="29" t="n">
        <x:v>1</x:v>
      </x:c>
      <x:c r="G13" s="41" t="n">
        <x:f>'工序与外协'!M12</x:f>
        <x:v>8</x:v>
      </x:c>
      <x:c r="H13" s="41" t="n">
        <x:f>ROUND(G13,2)</x:f>
        <x:v>8</x:v>
      </x:c>
    </x:row>
    <x:row r="14" ht="22" customHeight="1">
      <x:c r="D14" s="29" t="str">
        <x:v>报废风险</x:v>
      </x:c>
      <x:c r="E14" s="29" t="str">
        <x:v>直接成本×3%</x:v>
      </x:c>
      <x:c r="F14" s="29" t="n">
        <x:v>1</x:v>
      </x:c>
      <x:c r="G14" s="31" t="n">
        <x:f>3%</x:f>
        <x:v>0.03</x:v>
      </x:c>
      <x:c r="H14" s="41" t="n">
        <x:f>ROUND(SUM(H6:H13)*G14,2)</x:f>
        <x:v>11.54</x:v>
      </x:c>
    </x:row>
    <x:row r="15" ht="22" customHeight="1">
      <x:c r="D15" s="63" t="str">
        <x:v>制造成本合计</x:v>
      </x:c>
      <x:c r="E15" s="64" t="str">
        <x:v>规则版本 RQ-2026.07.2</x:v>
      </x:c>
      <x:c r="F15" s="64" t="n">
        <x:v>1</x:v>
      </x:c>
      <x:c r="G15" s="64" t="n">
        <x:f>0</x:f>
        <x:v>0</x:v>
      </x:c>
      <x:c r="H15" s="65" t="n">
        <x:f>ROUND(SUM(H6:H14),2)</x:f>
        <x:v>396.33</x:v>
      </x:c>
    </x:row>
    <x:row r="17" ht="26" customHeight="1">
      <x:c r="A17" s="9" t="str">
        <x:v>销售定价</x:v>
      </x:c>
      <x:c r="B17" s="9" t="str">
        <x:v>销售定价</x:v>
      </x:c>
      <x:c r="C17" s="9" t="str">
        <x:v>销售定价</x:v>
      </x:c>
      <x:c r="D17" s="9" t="str">
        <x:v>销售定价</x:v>
      </x:c>
      <x:c r="E17" s="9" t="str">
        <x:v>销售定价</x:v>
      </x:c>
      <x:c r="F17" s="9" t="str">
        <x:v>销售定价</x:v>
      </x:c>
      <x:c r="G17" s="9" t="str">
        <x:v>销售定价</x:v>
      </x:c>
      <x:c r="H17" s="9" t="str">
        <x:v>销售定价</x:v>
      </x:c>
    </x:row>
    <x:row r="18" ht="26" customHeight="1">
      <x:c r="A18" s="18" t="str">
        <x:v>目标毛利率</x:v>
      </x:c>
      <x:c r="B18" s="19" t="str">
        <x:v>税率</x:v>
      </x:c>
      <x:c r="C18" s="19" t="str">
        <x:v>未税建议单价</x:v>
      </x:c>
      <x:c r="D18" s="20" t="str">
        <x:v>含税建议单价</x:v>
      </x:c>
    </x:row>
    <x:row r="19" ht="22" customHeight="1">
      <x:c r="A19" s="73" t="n">
        <x:v>0.28</x:v>
      </x:c>
      <x:c r="B19" s="73" t="n">
        <x:v>0.13</x:v>
      </x:c>
      <x:c r="C19" s="74" t="n">
        <x:f>ROUND($H$15/(1-A19),2)</x:f>
        <x:v>550.46</x:v>
      </x:c>
      <x:c r="D19" s="74" t="n">
        <x:f>ROUND(C19*(1+B19),2)</x:f>
        <x:v>622.02</x:v>
      </x:c>
    </x:row>
    <x:row r="21" ht="26" customHeight="1">
      <x:c r="A21" s="18" t="str">
        <x:v>数量</x:v>
      </x:c>
      <x:c r="B21" s="19" t="str">
        <x:v>含税总价</x:v>
      </x:c>
      <x:c r="C21" s="19" t="str">
        <x:v>预计毛利额</x:v>
      </x:c>
      <x:c r="D21" s="20" t="str">
        <x:v>预计毛利率</x:v>
      </x:c>
    </x:row>
    <x:row r="22" ht="22" customHeight="1">
      <x:c r="A22" s="77" t="n">
        <x:f>$B$6</x:f>
        <x:v>20</x:v>
      </x:c>
      <x:c r="B22" s="74" t="n">
        <x:f>ROUND(A22*$D$19,2)</x:f>
        <x:v>12440.4</x:v>
      </x:c>
      <x:c r="C22" s="74" t="n">
        <x:f>ROUND((C19-$H$15)*A22,2)</x:f>
        <x:v>3082.6</x:v>
      </x:c>
      <x:c r="D22" s="78" t="n">
        <x:f>(C19-$H$15)/C19</x:f>
        <x:v>0.28000217999491345</x:v>
      </x:c>
    </x:row>
  </x:sheetData>
  <x:mergeCells>
    <x:mergeCell ref="A1:H1"/>
    <x:mergeCell ref="A2:H2"/>
    <x:mergeCell ref="A4:D4"/>
    <x:mergeCell ref="D4:H4"/>
    <x:mergeCell ref="A17:H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4" hidden="0" customWidth="1"/>
    <x:col min="4" max="4" width="15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2" hidden="0" customWidth="1"/>
    <x:col min="13" max="13" width="17" hidden="0" customWidth="1"/>
    <x:col min="14" max="14" width="15" hidden="0" customWidth="1"/>
  </x:cols>
  <x:sheetData>
    <x:row r="1" ht="34" customHeight="1">
      <x:c r="A1" s="3" t="str">
        <x:v>历史报价样例 - 12条</x:v>
      </x:c>
      <x:c r="B1" s="3" t="str">
        <x:v>历史报价样例 - 12条</x:v>
      </x:c>
      <x:c r="C1" s="3" t="str">
        <x:v>历史报价样例 - 12条</x:v>
      </x:c>
      <x:c r="D1" s="3" t="str">
        <x:v>历史报价样例 - 12条</x:v>
      </x:c>
      <x:c r="E1" s="3" t="str">
        <x:v>历史报价样例 - 12条</x:v>
      </x:c>
      <x:c r="F1" s="3" t="str">
        <x:v>历史报价样例 - 12条</x:v>
      </x:c>
      <x:c r="G1" s="3" t="str">
        <x:v>历史报价样例 - 12条</x:v>
      </x:c>
      <x:c r="H1" s="3" t="str">
        <x:v>历史报价样例 - 12条</x:v>
      </x:c>
      <x:c r="I1" s="3" t="str">
        <x:v>历史报价样例 - 12条</x:v>
      </x:c>
      <x:c r="J1" s="3" t="str">
        <x:v>历史报价样例 - 12条</x:v>
      </x:c>
      <x:c r="K1" s="3" t="str">
        <x:v>历史报价样例 - 12条</x:v>
      </x:c>
      <x:c r="L1" s="3" t="str">
        <x:v>历史报价样例 - 12条</x:v>
      </x:c>
      <x:c r="M1" s="3" t="str">
        <x:v>历史报价样例 - 12条</x:v>
      </x:c>
      <x:c r="N1" s="3" t="str">
        <x:v>历史报价样例 - 12条</x:v>
      </x:c>
    </x:row>
    <x:row r="2" ht="24" customHeight="1">
      <x:c r="A2" s="6" t="str">
        <x:v>覆盖车、铣、磨、线切割、钣金、焊接、热处理、表面处理与外协组合工艺</x:v>
      </x:c>
      <x:c r="B2" s="6" t="str">
        <x:v>覆盖车、铣、磨、线切割、钣金、焊接、热处理、表面处理与外协组合工艺</x:v>
      </x:c>
      <x:c r="C2" s="6" t="str">
        <x:v>覆盖车、铣、磨、线切割、钣金、焊接、热处理、表面处理与外协组合工艺</x:v>
      </x:c>
      <x:c r="D2" s="6" t="str">
        <x:v>覆盖车、铣、磨、线切割、钣金、焊接、热处理、表面处理与外协组合工艺</x:v>
      </x:c>
      <x:c r="E2" s="6" t="str">
        <x:v>覆盖车、铣、磨、线切割、钣金、焊接、热处理、表面处理与外协组合工艺</x:v>
      </x:c>
      <x:c r="F2" s="6" t="str">
        <x:v>覆盖车、铣、磨、线切割、钣金、焊接、热处理、表面处理与外协组合工艺</x:v>
      </x:c>
      <x:c r="G2" s="6" t="str">
        <x:v>覆盖车、铣、磨、线切割、钣金、焊接、热处理、表面处理与外协组合工艺</x:v>
      </x:c>
      <x:c r="H2" s="6" t="str">
        <x:v>覆盖车、铣、磨、线切割、钣金、焊接、热处理、表面处理与外协组合工艺</x:v>
      </x:c>
      <x:c r="I2" s="6" t="str">
        <x:v>覆盖车、铣、磨、线切割、钣金、焊接、热处理、表面处理与外协组合工艺</x:v>
      </x:c>
      <x:c r="J2" s="6" t="str">
        <x:v>覆盖车、铣、磨、线切割、钣金、焊接、热处理、表面处理与外协组合工艺</x:v>
      </x:c>
      <x:c r="K2" s="6" t="str">
        <x:v>覆盖车、铣、磨、线切割、钣金、焊接、热处理、表面处理与外协组合工艺</x:v>
      </x:c>
      <x:c r="L2" s="6" t="str">
        <x:v>覆盖车、铣、磨、线切割、钣金、焊接、热处理、表面处理与外协组合工艺</x:v>
      </x:c>
      <x:c r="M2" s="6" t="str">
        <x:v>覆盖车、铣、磨、线切割、钣金、焊接、热处理、表面处理与外协组合工艺</x:v>
      </x:c>
      <x:c r="N2" s="6" t="str">
        <x:v>覆盖车、铣、磨、线切割、钣金、焊接、热处理、表面处理与外协组合工艺</x:v>
      </x:c>
    </x:row>
    <x:row r="4" ht="26" customHeight="1">
      <x:c r="A4" s="18" t="str">
        <x:v>样本数</x:v>
      </x:c>
      <x:c r="B4" s="19" t="str">
        <x:v>初稿10%内数量</x:v>
      </x:c>
      <x:c r="C4" s="19" t="str">
        <x:v>初稿10%内占比</x:v>
      </x:c>
      <x:c r="D4" s="20" t="str">
        <x:v>平均初稿偏差</x:v>
      </x:c>
    </x:row>
    <x:row r="5">
      <x:c r="A5" s="69" t="n">
        <x:f>COUNTA(A8:A19)</x:f>
        <x:v>12</x:v>
      </x:c>
      <x:c r="B5" s="69" t="n">
        <x:f>COUNTIF(L8:L19,"是")</x:f>
        <x:v>12</x:v>
      </x:c>
      <x:c r="C5" s="70" t="n">
        <x:f>B5/A5</x:f>
        <x:v>1</x:v>
      </x:c>
      <x:c r="D5" s="70" t="n">
        <x:f>AVERAGE(J8:J19)</x:f>
        <x:v>0.03089718090859368</x:v>
      </x:c>
    </x:row>
    <x:row r="7" ht="26" customHeight="1">
      <x:c r="A7" s="18" t="str">
        <x:v>历史编号</x:v>
      </x:c>
      <x:c r="B7" s="19" t="str">
        <x:v>零件名称</x:v>
      </x:c>
      <x:c r="C7" s="19" t="str">
        <x:v>主要工艺</x:v>
      </x:c>
      <x:c r="D7" s="19" t="str">
        <x:v>材料</x:v>
      </x:c>
      <x:c r="E7" s="19" t="str">
        <x:v>数量</x:v>
      </x:c>
      <x:c r="F7" s="19" t="str">
        <x:v>工程成本</x:v>
      </x:c>
      <x:c r="G7" s="19" t="str">
        <x:v>初稿单价</x:v>
      </x:c>
      <x:c r="H7" s="19" t="str">
        <x:v>人工审核价</x:v>
      </x:c>
      <x:c r="I7" s="19" t="str">
        <x:v>实际成本</x:v>
      </x:c>
      <x:c r="J7" s="19" t="str">
        <x:v>初稿偏差率</x:v>
      </x:c>
      <x:c r="K7" s="19" t="str">
        <x:v>实际成本偏差率</x:v>
      </x:c>
      <x:c r="L7" s="19" t="str">
        <x:v>初稿≤10%</x:v>
      </x:c>
      <x:c r="M7" s="19" t="str">
        <x:v>规则版本</x:v>
      </x:c>
      <x:c r="N7" s="20" t="str">
        <x:v>报价日期</x:v>
      </x:c>
    </x:row>
    <x:row r="8" ht="22" customHeight="1">
      <x:c r="A8" s="24" t="str">
        <x:v>HIS-0001</x:v>
      </x:c>
      <x:c r="B8" s="24" t="str">
        <x:v>伺服电机安装座</x:v>
      </x:c>
      <x:c r="C8" s="24" t="str">
        <x:v>铣/钻/阳极</x:v>
      </x:c>
      <x:c r="D8" s="24" t="str">
        <x:v>6061-T6</x:v>
      </x:c>
      <x:c r="E8" s="37" t="n">
        <x:v>20</x:v>
      </x:c>
      <x:c r="F8" s="40" t="n">
        <x:v>414.1</x:v>
      </x:c>
      <x:c r="G8" s="40" t="n">
        <x:v>575.1</x:v>
      </x:c>
      <x:c r="H8" s="40" t="n">
        <x:v>568</x:v>
      </x:c>
      <x:c r="I8" s="40" t="n">
        <x:v>421.5</x:v>
      </x:c>
      <x:c r="J8" s="30" t="n">
        <x:f>ABS(G8-H8)/H8</x:f>
        <x:v>0.01250000000000004</x:v>
      </x:c>
      <x:c r="K8" s="30" t="n">
        <x:f>ABS(F8-I8)/I8</x:f>
        <x:v>0.017556346381969103</x:v>
      </x:c>
      <x:c r="L8" s="24" t="str">
        <x:f>IF(J8&lt;=10%,"是","否")</x:f>
        <x:v>是</x:v>
      </x:c>
      <x:c r="M8" s="24" t="str">
        <x:v>RQ-2026.07.2</x:v>
      </x:c>
      <x:c r="N8" s="26" t="n">
        <x:v>46221</x:v>
      </x:c>
    </x:row>
    <x:row r="9" ht="22" customHeight="1">
      <x:c r="A9" s="29" t="str">
        <x:v>HIS-0002</x:v>
      </x:c>
      <x:c r="B9" s="29" t="str">
        <x:v>分度盘连接轴</x:v>
      </x:c>
      <x:c r="C9" s="29" t="str">
        <x:v>车/磨/调质</x:v>
      </x:c>
      <x:c r="D9" s="29" t="str">
        <x:v>40Cr</x:v>
      </x:c>
      <x:c r="E9" s="38" t="n">
        <x:v>50</x:v>
      </x:c>
      <x:c r="F9" s="41" t="n">
        <x:v>182.4</x:v>
      </x:c>
      <x:c r="G9" s="41" t="n">
        <x:v>253.3</x:v>
      </x:c>
      <x:c r="H9" s="41" t="n">
        <x:v>260</x:v>
      </x:c>
      <x:c r="I9" s="41" t="n">
        <x:v>187.2</x:v>
      </x:c>
      <x:c r="J9" s="31" t="n">
        <x:f>ABS(G9-H9)/H9</x:f>
        <x:v>0.025769230769230725</x:v>
      </x:c>
      <x:c r="K9" s="31" t="n">
        <x:f>ABS(F9-I9)/I9</x:f>
        <x:v>0.02564102564102555</x:v>
      </x:c>
      <x:c r="L9" s="29" t="str">
        <x:f>IF(J9&lt;=10%,"是","否")</x:f>
        <x:v>是</x:v>
      </x:c>
      <x:c r="M9" s="29" t="str">
        <x:v>RQ-2026.07.2</x:v>
      </x:c>
      <x:c r="N9" s="43" t="n">
        <x:v>46220</x:v>
      </x:c>
    </x:row>
    <x:row r="10" ht="22" customHeight="1">
      <x:c r="A10" s="29" t="str">
        <x:v>HIS-0003</x:v>
      </x:c>
      <x:c r="B10" s="29" t="str">
        <x:v>钣金折弯支架</x:v>
      </x:c>
      <x:c r="C10" s="29" t="str">
        <x:v>激光/折弯/拉丝</x:v>
      </x:c>
      <x:c r="D10" s="29" t="str">
        <x:v>SUS304</x:v>
      </x:c>
      <x:c r="E10" s="38" t="n">
        <x:v>100</x:v>
      </x:c>
      <x:c r="F10" s="41" t="n">
        <x:v>48.6</x:v>
      </x:c>
      <x:c r="G10" s="41" t="n">
        <x:v>67.5</x:v>
      </x:c>
      <x:c r="H10" s="41" t="n">
        <x:v>66</x:v>
      </x:c>
      <x:c r="I10" s="41" t="n">
        <x:v>50.1</x:v>
      </x:c>
      <x:c r="J10" s="31" t="n">
        <x:f>ABS(G10-H10)/H10</x:f>
        <x:v>0.022727272727272728</x:v>
      </x:c>
      <x:c r="K10" s="31" t="n">
        <x:f>ABS(F10-I10)/I10</x:f>
        <x:v>0.029940119760479042</x:v>
      </x:c>
      <x:c r="L10" s="29" t="str">
        <x:f>IF(J10&lt;=10%,"是","否")</x:f>
        <x:v>是</x:v>
      </x:c>
      <x:c r="M10" s="29" t="str">
        <x:v>RQ-2026.07.2</x:v>
      </x:c>
      <x:c r="N10" s="43" t="n">
        <x:v>46219</x:v>
      </x:c>
    </x:row>
    <x:row r="11" ht="22" customHeight="1">
      <x:c r="A11" s="29" t="str">
        <x:v>HIS-0004</x:v>
      </x:c>
      <x:c r="B11" s="29" t="str">
        <x:v>导轨压块</x:v>
      </x:c>
      <x:c r="C11" s="29" t="str">
        <x:v>铣/线切割</x:v>
      </x:c>
      <x:c r="D11" s="29" t="str">
        <x:v>7075-T6</x:v>
      </x:c>
      <x:c r="E11" s="38" t="n">
        <x:v>30</x:v>
      </x:c>
      <x:c r="F11" s="41" t="n">
        <x:v>96.2</x:v>
      </x:c>
      <x:c r="G11" s="41" t="n">
        <x:v>133.6</x:v>
      </x:c>
      <x:c r="H11" s="41" t="n">
        <x:v>142</x:v>
      </x:c>
      <x:c r="I11" s="41" t="n">
        <x:v>101.8</x:v>
      </x:c>
      <x:c r="J11" s="31" t="n">
        <x:f>ABS(G11-H11)/H11</x:f>
        <x:v>0.05915492957746483</x:v>
      </x:c>
      <x:c r="K11" s="31" t="n">
        <x:f>ABS(F11-I11)/I11</x:f>
        <x:v>0.055009823182711144</x:v>
      </x:c>
      <x:c r="L11" s="29" t="str">
        <x:f>IF(J11&lt;=10%,"是","否")</x:f>
        <x:v>是</x:v>
      </x:c>
      <x:c r="M11" s="29" t="str">
        <x:v>RQ-2026.07.2</x:v>
      </x:c>
      <x:c r="N11" s="43" t="n">
        <x:v>46218</x:v>
      </x:c>
    </x:row>
    <x:row r="12" ht="22" customHeight="1">
      <x:c r="A12" s="29" t="str">
        <x:v>HIS-0005</x:v>
      </x:c>
      <x:c r="B12" s="29" t="str">
        <x:v>焊接机架连接板</x:v>
      </x:c>
      <x:c r="C12" s="29" t="str">
        <x:v>激光/焊接/喷粉</x:v>
      </x:c>
      <x:c r="D12" s="29" t="str">
        <x:v>Q235B</x:v>
      </x:c>
      <x:c r="E12" s="38" t="n">
        <x:v>40</x:v>
      </x:c>
      <x:c r="F12" s="41" t="n">
        <x:v>88.5</x:v>
      </x:c>
      <x:c r="G12" s="41" t="n">
        <x:v>122.9</x:v>
      </x:c>
      <x:c r="H12" s="41" t="n">
        <x:v>128</x:v>
      </x:c>
      <x:c r="I12" s="41" t="n">
        <x:v>92.4</x:v>
      </x:c>
      <x:c r="J12" s="31" t="n">
        <x:f>ABS(G12-H12)/H12</x:f>
        <x:v>0.039843749999999956</x:v>
      </x:c>
      <x:c r="K12" s="31" t="n">
        <x:f>ABS(F12-I12)/I12</x:f>
        <x:v>0.042207792207792263</x:v>
      </x:c>
      <x:c r="L12" s="29" t="str">
        <x:f>IF(J12&lt;=10%,"是","否")</x:f>
        <x:v>是</x:v>
      </x:c>
      <x:c r="M12" s="29" t="str">
        <x:v>RQ-2026.07.2</x:v>
      </x:c>
      <x:c r="N12" s="43" t="n">
        <x:v>46217</x:v>
      </x:c>
    </x:row>
    <x:row r="13" ht="22" customHeight="1">
      <x:c r="A13" s="29" t="str">
        <x:v>HIS-0006</x:v>
      </x:c>
      <x:c r="B13" s="29" t="str">
        <x:v>真空传感器法兰</x:v>
      </x:c>
      <x:c r="C13" s="29" t="str">
        <x:v>车/铣/钝化</x:v>
      </x:c>
      <x:c r="D13" s="29" t="str">
        <x:v>SUS304</x:v>
      </x:c>
      <x:c r="E13" s="38" t="n">
        <x:v>12</x:v>
      </x:c>
      <x:c r="F13" s="41" t="n">
        <x:v>328.2</x:v>
      </x:c>
      <x:c r="G13" s="41" t="n">
        <x:v>455.8</x:v>
      </x:c>
      <x:c r="H13" s="41" t="n">
        <x:v>468</x:v>
      </x:c>
      <x:c r="I13" s="41" t="n">
        <x:v>335.6</x:v>
      </x:c>
      <x:c r="J13" s="31" t="n">
        <x:f>ABS(G13-H13)/H13</x:f>
        <x:v>0.026068376068376045</x:v>
      </x:c>
      <x:c r="K13" s="31" t="n">
        <x:f>ABS(F13-I13)/I13</x:f>
        <x:v>0.022050059594755762</x:v>
      </x:c>
      <x:c r="L13" s="29" t="str">
        <x:f>IF(J13&lt;=10%,"是","否")</x:f>
        <x:v>是</x:v>
      </x:c>
      <x:c r="M13" s="29" t="str">
        <x:v>RQ-2026.07.2</x:v>
      </x:c>
      <x:c r="N13" s="43" t="n">
        <x:v>46216</x:v>
      </x:c>
    </x:row>
    <x:row r="14" ht="22" customHeight="1">
      <x:c r="A14" s="29" t="str">
        <x:v>HIS-0007</x:v>
      </x:c>
      <x:c r="B14" s="29" t="str">
        <x:v>齿轮箱端盖</x:v>
      </x:c>
      <x:c r="C14" s="29" t="str">
        <x:v>车/铣/调质/发黑</x:v>
      </x:c>
      <x:c r="D14" s="29" t="str">
        <x:v>40Cr</x:v>
      </x:c>
      <x:c r="E14" s="38" t="n">
        <x:v>16</x:v>
      </x:c>
      <x:c r="F14" s="41" t="n">
        <x:v>512.7</x:v>
      </x:c>
      <x:c r="G14" s="41" t="n">
        <x:v>712.1</x:v>
      </x:c>
      <x:c r="H14" s="41" t="n">
        <x:v>735</x:v>
      </x:c>
      <x:c r="I14" s="41" t="n">
        <x:v>528.4</x:v>
      </x:c>
      <x:c r="J14" s="31" t="n">
        <x:f>ABS(G14-H14)/H14</x:f>
        <x:v>0.031156462585033982</x:v>
      </x:c>
      <x:c r="K14" s="31" t="n">
        <x:f>ABS(F14-I14)/I14</x:f>
        <x:v>0.029712339137017284</x:v>
      </x:c>
      <x:c r="L14" s="29" t="str">
        <x:f>IF(J14&lt;=10%,"是","否")</x:f>
        <x:v>是</x:v>
      </x:c>
      <x:c r="M14" s="29" t="str">
        <x:v>RQ-2026.07.2</x:v>
      </x:c>
      <x:c r="N14" s="43" t="n">
        <x:v>46215</x:v>
      </x:c>
    </x:row>
    <x:row r="15" ht="22" customHeight="1">
      <x:c r="A15" s="29" t="str">
        <x:v>HIS-0008</x:v>
      </x:c>
      <x:c r="B15" s="29" t="str">
        <x:v>精密定位块</x:v>
      </x:c>
      <x:c r="C15" s="29" t="str">
        <x:v>铣/磨/CMM</x:v>
      </x:c>
      <x:c r="D15" s="29" t="str">
        <x:v>SKD11</x:v>
      </x:c>
      <x:c r="E15" s="38" t="n">
        <x:v>24</x:v>
      </x:c>
      <x:c r="F15" s="41" t="n">
        <x:v>268.9</x:v>
      </x:c>
      <x:c r="G15" s="41" t="n">
        <x:v>373.5</x:v>
      </x:c>
      <x:c r="H15" s="41" t="n">
        <x:v>365</x:v>
      </x:c>
      <x:c r="I15" s="41" t="n">
        <x:v>274.6</x:v>
      </x:c>
      <x:c r="J15" s="31" t="n">
        <x:f>ABS(G15-H15)/H15</x:f>
        <x:v>0.023287671232876714</x:v>
      </x:c>
      <x:c r="K15" s="31" t="n">
        <x:f>ABS(F15-I15)/I15</x:f>
        <x:v>0.02075746540422449</x:v>
      </x:c>
      <x:c r="L15" s="29" t="str">
        <x:f>IF(J15&lt;=10%,"是","否")</x:f>
        <x:v>是</x:v>
      </x:c>
      <x:c r="M15" s="29" t="str">
        <x:v>RQ-2026.06.1</x:v>
      </x:c>
      <x:c r="N15" s="43" t="n">
        <x:v>46201</x:v>
      </x:c>
    </x:row>
    <x:row r="16" ht="22" customHeight="1">
      <x:c r="A16" s="29" t="str">
        <x:v>HIS-0009</x:v>
      </x:c>
      <x:c r="B16" s="29" t="str">
        <x:v>钛合金压板</x:v>
      </x:c>
      <x:c r="C16" s="29" t="str">
        <x:v>铣/线切割/喷砂</x:v>
      </x:c>
      <x:c r="D16" s="29" t="str">
        <x:v>TC4</x:v>
      </x:c>
      <x:c r="E16" s="38" t="n">
        <x:v>8</x:v>
      </x:c>
      <x:c r="F16" s="41" t="n">
        <x:v>826.3</x:v>
      </x:c>
      <x:c r="G16" s="41" t="n">
        <x:v>1147.6</x:v>
      </x:c>
      <x:c r="H16" s="41" t="n">
        <x:v>1210</x:v>
      </x:c>
      <x:c r="I16" s="41" t="n">
        <x:v>854.2</x:v>
      </x:c>
      <x:c r="J16" s="31" t="n">
        <x:f>ABS(G16-H16)/H16</x:f>
        <x:v>0.05157024793388437</x:v>
      </x:c>
      <x:c r="K16" s="31" t="n">
        <x:f>ABS(F16-I16)/I16</x:f>
        <x:v>0.03266214001404834</x:v>
      </x:c>
      <x:c r="L16" s="29" t="str">
        <x:f>IF(J16&lt;=10%,"是","否")</x:f>
        <x:v>是</x:v>
      </x:c>
      <x:c r="M16" s="29" t="str">
        <x:v>RQ-2026.06.1</x:v>
      </x:c>
      <x:c r="N16" s="43" t="n">
        <x:v>46197</x:v>
      </x:c>
    </x:row>
    <x:row r="17" ht="22" customHeight="1">
      <x:c r="A17" s="29" t="str">
        <x:v>HIS-0010</x:v>
      </x:c>
      <x:c r="B17" s="29" t="str">
        <x:v>气缸安装法兰</x:v>
      </x:c>
      <x:c r="C17" s="29" t="str">
        <x:v>车/铣/阳极</x:v>
      </x:c>
      <x:c r="D17" s="29" t="str">
        <x:v>6061-T6</x:v>
      </x:c>
      <x:c r="E17" s="38" t="n">
        <x:v>60</x:v>
      </x:c>
      <x:c r="F17" s="41" t="n">
        <x:v>76.8</x:v>
      </x:c>
      <x:c r="G17" s="41" t="n">
        <x:v>106.7</x:v>
      </x:c>
      <x:c r="H17" s="41" t="n">
        <x:v>105</x:v>
      </x:c>
      <x:c r="I17" s="41" t="n">
        <x:v>78.1</x:v>
      </x:c>
      <x:c r="J17" s="31" t="n">
        <x:f>ABS(G17-H17)/H17</x:f>
        <x:v>0.016190476190476217</x:v>
      </x:c>
      <x:c r="K17" s="31" t="n">
        <x:f>ABS(F17-I17)/I17</x:f>
        <x:v>0.0166453265044814</x:v>
      </x:c>
      <x:c r="L17" s="29" t="str">
        <x:f>IF(J17&lt;=10%,"是","否")</x:f>
        <x:v>是</x:v>
      </x:c>
      <x:c r="M17" s="29" t="str">
        <x:v>RQ-2026.06.1</x:v>
      </x:c>
      <x:c r="N17" s="43" t="n">
        <x:v>46193</x:v>
      </x:c>
    </x:row>
    <x:row r="18" ht="22" customHeight="1">
      <x:c r="A18" s="29" t="str">
        <x:v>HIS-0011</x:v>
      </x:c>
      <x:c r="B18" s="29" t="str">
        <x:v>不锈钢料斗支架</x:v>
      </x:c>
      <x:c r="C18" s="29" t="str">
        <x:v>钣金/焊接/钝化</x:v>
      </x:c>
      <x:c r="D18" s="29" t="str">
        <x:v>SUS304</x:v>
      </x:c>
      <x:c r="E18" s="38" t="n">
        <x:v>20</x:v>
      </x:c>
      <x:c r="F18" s="41" t="n">
        <x:v>386.5</x:v>
      </x:c>
      <x:c r="G18" s="41" t="n">
        <x:v>536.8</x:v>
      </x:c>
      <x:c r="H18" s="41" t="n">
        <x:v>560</x:v>
      </x:c>
      <x:c r="I18" s="41" t="n">
        <x:v>397.9</x:v>
      </x:c>
      <x:c r="J18" s="31" t="n">
        <x:f>ABS(G18-H18)/H18</x:f>
        <x:v>0.04142857142857151</x:v>
      </x:c>
      <x:c r="K18" s="31" t="n">
        <x:f>ABS(F18-I18)/I18</x:f>
        <x:v>0.02865041467705448</x:v>
      </x:c>
      <x:c r="L18" s="29" t="str">
        <x:f>IF(J18&lt;=10%,"是","否")</x:f>
        <x:v>是</x:v>
      </x:c>
      <x:c r="M18" s="29" t="str">
        <x:v>RQ-2026.06.1</x:v>
      </x:c>
      <x:c r="N18" s="43" t="n">
        <x:v>46191</x:v>
      </x:c>
    </x:row>
    <x:row r="19" ht="22" customHeight="1">
      <x:c r="A19" s="25" t="str">
        <x:v>HIS-0012</x:v>
      </x:c>
      <x:c r="B19" s="25" t="str">
        <x:v>电机过渡轴</x:v>
      </x:c>
      <x:c r="C19" s="25" t="str">
        <x:v>车/磨/镀硬铬</x:v>
      </x:c>
      <x:c r="D19" s="25" t="str">
        <x:v>40Cr</x:v>
      </x:c>
      <x:c r="E19" s="39" t="n">
        <x:v>35</x:v>
      </x:c>
      <x:c r="F19" s="42" t="n">
        <x:v>224.1</x:v>
      </x:c>
      <x:c r="G19" s="42" t="n">
        <x:v>311.3</x:v>
      </x:c>
      <x:c r="H19" s="42" t="n">
        <x:v>318</x:v>
      </x:c>
      <x:c r="I19" s="42" t="n">
        <x:v>229.8</x:v>
      </x:c>
      <x:c r="J19" s="33" t="n">
        <x:f>ABS(G19-H19)/H19</x:f>
        <x:v>0.02106918238993707</x:v>
      </x:c>
      <x:c r="K19" s="33" t="n">
        <x:f>ABS(F19-I19)/I19</x:f>
        <x:v>0.024804177545691978</x:v>
      </x:c>
      <x:c r="L19" s="25" t="str">
        <x:f>IF(J19&lt;=10%,"是","否")</x:f>
        <x:v>是</x:v>
      </x:c>
      <x:c r="M19" s="25" t="str">
        <x:v>RQ-2026.06.1</x:v>
      </x:c>
      <x:c r="N19" s="27" t="n">
        <x:v>46188</x:v>
      </x:c>
    </x:row>
  </x:sheetData>
  <x:mergeCells>
    <x:mergeCell ref="A1:N1"/>
    <x:mergeCell ref="A2:N2"/>
  </x:mergeCells>
  <x:conditionalFormatting sqref="J8:J19">
    <x:cfRule type="cellIs" dxfId="0" priority="1" operator="lessThanOrEqual">
      <x:formula>0.1</x:formula>
    </x:cfRule>
    <x:cfRule type="cellIs" dxfId="1" priority="2" operator="greaterThan">
      <x:formula>0.1</x:formula>
    </x:cfRule>
  </x:conditionalFormatting>
  <x:pageMargins left="0.7" right="0.7" top="0.75" bottom="0.75" header="0.3" footer="0.3"/>
</x:worksheet>
</file>